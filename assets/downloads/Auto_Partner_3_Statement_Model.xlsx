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PORTFOLIO\Analiza Spółki\"/>
    </mc:Choice>
  </mc:AlternateContent>
  <xr:revisionPtr revIDLastSave="0" documentId="13_ncr:1_{16BD6519-2452-40EF-8007-B5459E3B9341}" xr6:coauthVersionLast="47" xr6:coauthVersionMax="47" xr10:uidLastSave="{00000000-0000-0000-0000-000000000000}"/>
  <bookViews>
    <workbookView xWindow="28680" yWindow="-120" windowWidth="29040" windowHeight="15840" activeTab="7" xr2:uid="{E5CCC83C-7FA5-7344-8D9E-DCD20885CE04}"/>
  </bookViews>
  <sheets>
    <sheet name="3Stmt" sheetId="6" r:id="rId1"/>
    <sheet name="Cover" sheetId="7" r:id="rId2"/>
    <sheet name="Sources" sheetId="8" r:id="rId3"/>
    <sheet name="Assumptions" sheetId="9" r:id="rId4"/>
    <sheet name="DCF" sheetId="10" r:id="rId5"/>
    <sheet name="Comps" sheetId="11" r:id="rId6"/>
    <sheet name="Checks" sheetId="12" r:id="rId7"/>
    <sheet name="Dashboard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2" l="1"/>
  <c r="B10" i="10"/>
  <c r="C10" i="10"/>
  <c r="D10" i="10"/>
  <c r="E10" i="10"/>
  <c r="F10" i="10"/>
  <c r="C5" i="6"/>
  <c r="D47" i="6"/>
  <c r="C14" i="12" s="1"/>
  <c r="D14" i="12" s="1"/>
  <c r="E47" i="6"/>
  <c r="F47" i="6"/>
  <c r="G47" i="6"/>
  <c r="H47" i="6"/>
  <c r="I47" i="6"/>
  <c r="J47" i="6"/>
  <c r="C47" i="6"/>
  <c r="B34" i="9"/>
  <c r="B35" i="6"/>
  <c r="C4" i="12" s="1"/>
  <c r="B32" i="9"/>
  <c r="B17" i="11"/>
  <c r="C20" i="12"/>
  <c r="C19" i="12"/>
  <c r="G34" i="6"/>
  <c r="H34" i="6"/>
  <c r="I34" i="6"/>
  <c r="J34" i="6"/>
  <c r="F34" i="6"/>
  <c r="G33" i="6"/>
  <c r="H33" i="6"/>
  <c r="I33" i="6"/>
  <c r="J33" i="6"/>
  <c r="F33" i="6"/>
  <c r="G32" i="6"/>
  <c r="H32" i="6"/>
  <c r="I32" i="6"/>
  <c r="J32" i="6"/>
  <c r="F32" i="6"/>
  <c r="G28" i="6"/>
  <c r="H28" i="6"/>
  <c r="I28" i="6"/>
  <c r="J28" i="6"/>
  <c r="F28" i="6"/>
  <c r="F35" i="6"/>
  <c r="C8" i="12" s="1"/>
  <c r="D8" i="12" s="1"/>
  <c r="G25" i="6"/>
  <c r="H25" i="6"/>
  <c r="I25" i="6"/>
  <c r="J25" i="6"/>
  <c r="F25" i="6"/>
  <c r="G30" i="6"/>
  <c r="F30" i="6"/>
  <c r="F21" i="6"/>
  <c r="F46" i="6"/>
  <c r="F45" i="6"/>
  <c r="F44" i="6"/>
  <c r="C15" i="12"/>
  <c r="D15" i="12" s="1"/>
  <c r="C13" i="12"/>
  <c r="C10" i="12"/>
  <c r="D10" i="12" s="1"/>
  <c r="C9" i="12"/>
  <c r="D9" i="12" s="1"/>
  <c r="C7" i="12"/>
  <c r="C6" i="12"/>
  <c r="C5" i="12"/>
  <c r="E10" i="6"/>
  <c r="C16" i="12"/>
  <c r="D16" i="12" s="1"/>
  <c r="G35" i="6"/>
  <c r="H35" i="6"/>
  <c r="C23" i="12"/>
  <c r="B17" i="10"/>
  <c r="B23" i="10"/>
  <c r="B25" i="10"/>
  <c r="G14" i="6"/>
  <c r="F27" i="6"/>
  <c r="G27" i="6" s="1"/>
  <c r="H27" i="6" s="1"/>
  <c r="I27" i="6" s="1"/>
  <c r="J27" i="6" s="1"/>
  <c r="F14" i="6"/>
  <c r="F4" i="6"/>
  <c r="F31" i="6" s="1"/>
  <c r="B7" i="9"/>
  <c r="C7" i="9"/>
  <c r="D7" i="9"/>
  <c r="B8" i="9"/>
  <c r="C8" i="9"/>
  <c r="D8" i="9"/>
  <c r="B9" i="9"/>
  <c r="C9" i="9"/>
  <c r="D9" i="9"/>
  <c r="B10" i="9"/>
  <c r="C10" i="9"/>
  <c r="D10" i="9"/>
  <c r="B11" i="9"/>
  <c r="C11" i="9"/>
  <c r="D11" i="9"/>
  <c r="B12" i="9"/>
  <c r="C12" i="9"/>
  <c r="D12" i="9"/>
  <c r="B13" i="9"/>
  <c r="C13" i="9"/>
  <c r="D13" i="9"/>
  <c r="B14" i="9"/>
  <c r="C14" i="9"/>
  <c r="D14" i="9"/>
  <c r="B16" i="9"/>
  <c r="C16" i="9"/>
  <c r="D16" i="9"/>
  <c r="B17" i="9"/>
  <c r="C17" i="9"/>
  <c r="D17" i="9"/>
  <c r="C44" i="6"/>
  <c r="D44" i="6"/>
  <c r="E44" i="6"/>
  <c r="C37" i="6"/>
  <c r="D37" i="6"/>
  <c r="E37" i="6"/>
  <c r="C38" i="6"/>
  <c r="D38" i="6"/>
  <c r="E38" i="6"/>
  <c r="C39" i="6"/>
  <c r="D39" i="6"/>
  <c r="E39" i="6"/>
  <c r="C32" i="6"/>
  <c r="C34" i="6" s="1"/>
  <c r="D32" i="6"/>
  <c r="D34" i="6" s="1"/>
  <c r="E32" i="6"/>
  <c r="E34" i="6" s="1"/>
  <c r="C25" i="6"/>
  <c r="C28" i="6" s="1"/>
  <c r="D25" i="6"/>
  <c r="D28" i="6" s="1"/>
  <c r="D35" i="6" s="1"/>
  <c r="E25" i="6"/>
  <c r="E28" i="6" s="1"/>
  <c r="C18" i="6"/>
  <c r="D18" i="6"/>
  <c r="E18" i="6"/>
  <c r="C19" i="6"/>
  <c r="D19" i="6"/>
  <c r="E19" i="6"/>
  <c r="C12" i="6"/>
  <c r="C13" i="6" s="1"/>
  <c r="D12" i="6"/>
  <c r="D13" i="6" s="1"/>
  <c r="E12" i="6"/>
  <c r="E13" i="6" s="1"/>
  <c r="C10" i="6"/>
  <c r="B6" i="9" s="1"/>
  <c r="D10" i="6"/>
  <c r="C6" i="9" s="1"/>
  <c r="D6" i="9"/>
  <c r="C7" i="6"/>
  <c r="C8" i="6" s="1"/>
  <c r="B5" i="9" s="1"/>
  <c r="D7" i="6"/>
  <c r="D8" i="6" s="1"/>
  <c r="C5" i="9" s="1"/>
  <c r="E7" i="6"/>
  <c r="E8" i="6" s="1"/>
  <c r="D5" i="9" s="1"/>
  <c r="B4" i="9"/>
  <c r="D5" i="6"/>
  <c r="C4" i="9" s="1"/>
  <c r="E5" i="6"/>
  <c r="D4" i="9" s="1"/>
  <c r="B46" i="6"/>
  <c r="B39" i="6"/>
  <c r="B32" i="6"/>
  <c r="B34" i="6" s="1"/>
  <c r="B25" i="6"/>
  <c r="B28" i="6" s="1"/>
  <c r="B21" i="11"/>
  <c r="B28" i="11"/>
  <c r="D10" i="11"/>
  <c r="E10" i="11"/>
  <c r="F10" i="11"/>
  <c r="G10" i="11"/>
  <c r="B33" i="9"/>
  <c r="B26" i="9"/>
  <c r="B21" i="10" s="1"/>
  <c r="B23" i="9"/>
  <c r="B9" i="7"/>
  <c r="J35" i="6" l="1"/>
  <c r="C12" i="12" s="1"/>
  <c r="D12" i="12" s="1"/>
  <c r="I35" i="6"/>
  <c r="C11" i="12" s="1"/>
  <c r="D11" i="12" s="1"/>
  <c r="D13" i="12"/>
  <c r="C35" i="6"/>
  <c r="E35" i="6"/>
  <c r="C15" i="6"/>
  <c r="C16" i="6" s="1"/>
  <c r="B15" i="9" s="1"/>
  <c r="D4" i="12"/>
  <c r="C40" i="6"/>
  <c r="F5" i="6"/>
  <c r="D5" i="12"/>
  <c r="E15" i="6"/>
  <c r="E16" i="6" s="1"/>
  <c r="D15" i="9" s="1"/>
  <c r="D15" i="6"/>
  <c r="D16" i="6" s="1"/>
  <c r="C15" i="9" s="1"/>
  <c r="E40" i="6"/>
  <c r="D40" i="6"/>
  <c r="D7" i="12"/>
  <c r="D6" i="12"/>
  <c r="E9" i="9"/>
  <c r="F42" i="6"/>
  <c r="G4" i="6"/>
  <c r="G24" i="6" s="1"/>
  <c r="B5" i="10"/>
  <c r="F22" i="6"/>
  <c r="F7" i="6"/>
  <c r="F8" i="6" s="1"/>
  <c r="F24" i="6"/>
  <c r="F9" i="6"/>
  <c r="F11" i="6"/>
  <c r="B35" i="9"/>
  <c r="C21" i="12" s="1"/>
  <c r="D21" i="12" s="1"/>
  <c r="B20" i="11"/>
  <c r="G22" i="6" l="1"/>
  <c r="F6" i="6"/>
  <c r="H4" i="6"/>
  <c r="H42" i="6" s="1"/>
  <c r="G5" i="6"/>
  <c r="G11" i="6"/>
  <c r="C9" i="10" s="1"/>
  <c r="G31" i="6"/>
  <c r="G42" i="6"/>
  <c r="G9" i="6"/>
  <c r="G10" i="6" s="1"/>
  <c r="G7" i="6"/>
  <c r="C5" i="10"/>
  <c r="H14" i="6"/>
  <c r="F29" i="6"/>
  <c r="F23" i="6"/>
  <c r="F38" i="6"/>
  <c r="B9" i="10"/>
  <c r="F12" i="6"/>
  <c r="F10" i="6"/>
  <c r="D14" i="10"/>
  <c r="B14" i="10"/>
  <c r="E14" i="10"/>
  <c r="C14" i="10"/>
  <c r="F14" i="10"/>
  <c r="H31" i="6"/>
  <c r="H11" i="6"/>
  <c r="H9" i="6"/>
  <c r="H24" i="6"/>
  <c r="H7" i="6"/>
  <c r="H8" i="6" s="1"/>
  <c r="D5" i="10"/>
  <c r="H5" i="6"/>
  <c r="H22" i="6"/>
  <c r="I4" i="6"/>
  <c r="F26" i="6"/>
  <c r="F39" i="6" l="1"/>
  <c r="F40" i="6" s="1"/>
  <c r="B11" i="10" s="1"/>
  <c r="G38" i="6"/>
  <c r="G26" i="6"/>
  <c r="H26" i="6" s="1"/>
  <c r="G12" i="6"/>
  <c r="G8" i="6"/>
  <c r="G6" i="6"/>
  <c r="G15" i="6"/>
  <c r="B24" i="11"/>
  <c r="G13" i="6"/>
  <c r="C6" i="10"/>
  <c r="B16" i="11"/>
  <c r="B23" i="11" s="1"/>
  <c r="F13" i="6"/>
  <c r="B6" i="10"/>
  <c r="F15" i="6"/>
  <c r="H6" i="6"/>
  <c r="H10" i="6"/>
  <c r="H12" i="6"/>
  <c r="H38" i="6"/>
  <c r="D9" i="10"/>
  <c r="I42" i="6"/>
  <c r="E5" i="10"/>
  <c r="I11" i="6"/>
  <c r="J4" i="6"/>
  <c r="I31" i="6"/>
  <c r="I9" i="6"/>
  <c r="I24" i="6"/>
  <c r="I7" i="6"/>
  <c r="I8" i="6" s="1"/>
  <c r="I5" i="6"/>
  <c r="I22" i="6"/>
  <c r="I26" i="6" l="1"/>
  <c r="G29" i="6"/>
  <c r="G23" i="6"/>
  <c r="G39" i="6" s="1"/>
  <c r="G40" i="6" s="1"/>
  <c r="C11" i="10" s="1"/>
  <c r="H15" i="6"/>
  <c r="H13" i="6"/>
  <c r="D6" i="10"/>
  <c r="F16" i="6"/>
  <c r="B7" i="10" s="1"/>
  <c r="B8" i="10" s="1"/>
  <c r="B12" i="10" s="1"/>
  <c r="B15" i="10" s="1"/>
  <c r="I6" i="6"/>
  <c r="J42" i="6"/>
  <c r="F5" i="10"/>
  <c r="J31" i="6"/>
  <c r="J11" i="6"/>
  <c r="J9" i="6"/>
  <c r="J24" i="6"/>
  <c r="J7" i="6"/>
  <c r="J8" i="6" s="1"/>
  <c r="J5" i="6"/>
  <c r="J22" i="6"/>
  <c r="H29" i="6"/>
  <c r="H23" i="6"/>
  <c r="I12" i="6"/>
  <c r="I10" i="6"/>
  <c r="I38" i="6"/>
  <c r="E9" i="10"/>
  <c r="G16" i="6"/>
  <c r="C7" i="10" s="1"/>
  <c r="C8" i="10" s="1"/>
  <c r="C12" i="10" s="1"/>
  <c r="C15" i="10" s="1"/>
  <c r="F17" i="6" l="1"/>
  <c r="H39" i="6"/>
  <c r="H40" i="6" s="1"/>
  <c r="D11" i="10" s="1"/>
  <c r="F9" i="10"/>
  <c r="J38" i="6"/>
  <c r="J12" i="6"/>
  <c r="J10" i="6"/>
  <c r="G17" i="6"/>
  <c r="J26" i="6"/>
  <c r="B18" i="11"/>
  <c r="B25" i="11" s="1"/>
  <c r="F37" i="6"/>
  <c r="F41" i="6" s="1"/>
  <c r="F19" i="6"/>
  <c r="F43" i="6"/>
  <c r="F18" i="6"/>
  <c r="I29" i="6"/>
  <c r="I23" i="6"/>
  <c r="E6" i="10"/>
  <c r="I13" i="6"/>
  <c r="H16" i="6"/>
  <c r="D7" i="10" s="1"/>
  <c r="D8" i="10" s="1"/>
  <c r="D12" i="10" s="1"/>
  <c r="D15" i="10" s="1"/>
  <c r="J6" i="6"/>
  <c r="H17" i="6" l="1"/>
  <c r="I39" i="6"/>
  <c r="I40" i="6" s="1"/>
  <c r="E11" i="10" s="1"/>
  <c r="J29" i="6"/>
  <c r="J23" i="6"/>
  <c r="H37" i="6"/>
  <c r="H41" i="6" s="1"/>
  <c r="H43" i="6"/>
  <c r="H18" i="6"/>
  <c r="H19" i="6"/>
  <c r="B19" i="11"/>
  <c r="B26" i="11" s="1"/>
  <c r="B27" i="11" s="1"/>
  <c r="G37" i="6"/>
  <c r="G41" i="6" s="1"/>
  <c r="G19" i="6"/>
  <c r="G43" i="6"/>
  <c r="G18" i="6"/>
  <c r="J13" i="6"/>
  <c r="F6" i="10"/>
  <c r="G44" i="6" l="1"/>
  <c r="G45" i="6" s="1"/>
  <c r="G46" i="6" s="1"/>
  <c r="J39" i="6"/>
  <c r="J40" i="6" s="1"/>
  <c r="F11" i="10" s="1"/>
  <c r="B11" i="7"/>
  <c r="B29" i="11"/>
  <c r="G21" i="6" l="1"/>
  <c r="H44" i="6" l="1"/>
  <c r="F9" i="9"/>
  <c r="C17" i="12"/>
  <c r="D17" i="12" s="1"/>
  <c r="H45" i="6" l="1"/>
  <c r="H46" i="6" s="1"/>
  <c r="H30" i="6"/>
  <c r="H21" i="6"/>
  <c r="I14" i="6" l="1"/>
  <c r="I15" i="6" s="1"/>
  <c r="D19" i="12"/>
  <c r="C18" i="12"/>
  <c r="D18" i="12" s="1"/>
  <c r="G9" i="9"/>
  <c r="I16" i="6" l="1"/>
  <c r="E7" i="10" s="1"/>
  <c r="E8" i="10" s="1"/>
  <c r="E12" i="10" s="1"/>
  <c r="I17" i="6"/>
  <c r="I19" i="6" l="1"/>
  <c r="I18" i="6"/>
  <c r="I37" i="6"/>
  <c r="I41" i="6" s="1"/>
  <c r="I43" i="6"/>
  <c r="E15" i="10"/>
  <c r="I44" i="6" l="1"/>
  <c r="I45" i="6" l="1"/>
  <c r="I46" i="6" s="1"/>
  <c r="I30" i="6"/>
  <c r="J14" i="6" l="1"/>
  <c r="J15" i="6" s="1"/>
  <c r="I21" i="6"/>
  <c r="D20" i="12" s="1"/>
  <c r="H9" i="9" l="1"/>
  <c r="J16" i="6"/>
  <c r="F7" i="10" s="1"/>
  <c r="F8" i="10" s="1"/>
  <c r="F12" i="10" s="1"/>
  <c r="J17" i="6" l="1"/>
  <c r="B18" i="10"/>
  <c r="B19" i="10" s="1"/>
  <c r="F15" i="10"/>
  <c r="E34" i="10"/>
  <c r="F36" i="10"/>
  <c r="F32" i="10"/>
  <c r="D33" i="10"/>
  <c r="D34" i="10"/>
  <c r="E37" i="10"/>
  <c r="D35" i="10"/>
  <c r="F37" i="10"/>
  <c r="F35" i="10"/>
  <c r="G35" i="10"/>
  <c r="D36" i="10"/>
  <c r="C34" i="10"/>
  <c r="E36" i="10"/>
  <c r="C33" i="10"/>
  <c r="D37" i="10"/>
  <c r="G36" i="10"/>
  <c r="C32" i="10"/>
  <c r="C36" i="10"/>
  <c r="G34" i="10"/>
  <c r="G32" i="10"/>
  <c r="E33" i="10"/>
  <c r="E35" i="10"/>
  <c r="F34" i="10"/>
  <c r="C37" i="10"/>
  <c r="F33" i="10"/>
  <c r="G33" i="10"/>
  <c r="E32" i="10"/>
  <c r="C35" i="10"/>
  <c r="D32" i="10"/>
  <c r="G37" i="10"/>
  <c r="B20" i="10" l="1"/>
  <c r="B22" i="10" s="1"/>
  <c r="B24" i="10" s="1"/>
  <c r="J37" i="6"/>
  <c r="J41" i="6" s="1"/>
  <c r="J44" i="6" s="1"/>
  <c r="J43" i="6"/>
  <c r="J19" i="6"/>
  <c r="J18" i="6"/>
  <c r="J45" i="6" l="1"/>
  <c r="J46" i="6" s="1"/>
  <c r="J30" i="6"/>
  <c r="B26" i="10"/>
  <c r="C22" i="12"/>
  <c r="D22" i="12" s="1"/>
  <c r="B10" i="7"/>
  <c r="B12" i="7" s="1"/>
  <c r="B13" i="7" s="1"/>
  <c r="J21" i="6" l="1"/>
  <c r="I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</author>
  </authors>
  <commentList>
    <comment ref="B15" authorId="0" shapeId="0" xr:uid="{6EBFE6ED-4C29-462E-B635-067935FD9EE5}">
      <text>
        <r>
          <rPr>
            <b/>
            <sz val="9"/>
            <color rgb="FF000000"/>
            <rFont val="Tahoma"/>
            <family val="2"/>
            <charset val="238"/>
          </rPr>
          <t>Karol:</t>
        </r>
        <r>
          <rPr>
            <sz val="9"/>
            <color rgb="FF000000"/>
            <rFont val="Tahoma"/>
            <family val="2"/>
            <charset val="238"/>
          </rPr>
          <t xml:space="preserve">
</t>
        </r>
        <r>
          <rPr>
            <sz val="9"/>
            <color rgb="FF000000"/>
            <rFont val="Tahoma"/>
            <family val="2"/>
            <charset val="238"/>
          </rPr>
          <t xml:space="preserve">Model Status indicates the stage of the model. I describe it as Draft v1 because the model already includes the full 3-statement forecast, DCF and comps valuation, but I would still refine items such as cash policy, capex support, peer group selection and final checks before treating it as a final investment committee version.
</t>
        </r>
      </text>
    </comment>
  </commentList>
</comments>
</file>

<file path=xl/sharedStrings.xml><?xml version="1.0" encoding="utf-8"?>
<sst xmlns="http://schemas.openxmlformats.org/spreadsheetml/2006/main" count="344" uniqueCount="281">
  <si>
    <t>Income Statement</t>
  </si>
  <si>
    <t>Balance Sheet</t>
  </si>
  <si>
    <t>Cash Flow Statement</t>
  </si>
  <si>
    <t>Revenue</t>
  </si>
  <si>
    <t>Inventory</t>
  </si>
  <si>
    <t>COGS</t>
  </si>
  <si>
    <t>Gross Profit</t>
  </si>
  <si>
    <t>Taxes</t>
  </si>
  <si>
    <t>Net Income</t>
  </si>
  <si>
    <t>Accounts Receivable</t>
  </si>
  <si>
    <t>Total Current Assets</t>
  </si>
  <si>
    <t>Total Assets</t>
  </si>
  <si>
    <t>Accounts Payable</t>
  </si>
  <si>
    <t>Total Liabilities</t>
  </si>
  <si>
    <t>Total Liabilities &amp; Equity</t>
  </si>
  <si>
    <t>Dividends</t>
  </si>
  <si>
    <t>Assumptions</t>
  </si>
  <si>
    <t>Tax Rate</t>
  </si>
  <si>
    <t>Capex</t>
  </si>
  <si>
    <t>Auto Partner S.A. Equity Research Project</t>
  </si>
  <si>
    <t>3-Statement Model, DCF &amp; Comparable Valuation</t>
  </si>
  <si>
    <t>Company</t>
  </si>
  <si>
    <t>Auto Partner S.A.</t>
  </si>
  <si>
    <t>Ticker</t>
  </si>
  <si>
    <t>APR.WA / WSE</t>
  </si>
  <si>
    <t>Currency / Units</t>
  </si>
  <si>
    <t>PLN mm; share prices in PLN</t>
  </si>
  <si>
    <t>Prepared for</t>
  </si>
  <si>
    <t>Portfolio project</t>
  </si>
  <si>
    <t>As of</t>
  </si>
  <si>
    <t>Base Case Snapshot</t>
  </si>
  <si>
    <t>Current Share Price</t>
  </si>
  <si>
    <t>DCF Implied Share Price</t>
  </si>
  <si>
    <t>Comps Implied Share Price</t>
  </si>
  <si>
    <t>DCF Upside / (Downside)</t>
  </si>
  <si>
    <t>Recommendation Framing</t>
  </si>
  <si>
    <t>Official filings + IR + market data</t>
  </si>
  <si>
    <t>Model Status</t>
  </si>
  <si>
    <t>Draft v1 - ready for refinement</t>
  </si>
  <si>
    <t>Portfolio Project Flow</t>
  </si>
  <si>
    <t>Understand company and source historical data</t>
  </si>
  <si>
    <t>Build 3-statement historical model and operating forecast</t>
  </si>
  <si>
    <t>Value company using DCF with WACC and terminal value</t>
  </si>
  <si>
    <t>Cross-check valuation using comparable company multiples</t>
  </si>
  <si>
    <t>Run checks, explain assumptions, and document sources</t>
  </si>
  <si>
    <t>Growth</t>
  </si>
  <si>
    <t>Operations</t>
  </si>
  <si>
    <t>Zgorzelec logistics hub may improve efficiency but adds cost base</t>
  </si>
  <si>
    <t>Risks</t>
  </si>
  <si>
    <t>Working-capital intensity, inventory turns, EUR/PLN, competition</t>
  </si>
  <si>
    <t>Valuation</t>
  </si>
  <si>
    <t>Sources &amp; Provenance Log</t>
  </si>
  <si>
    <t>Item</t>
  </si>
  <si>
    <t>Value</t>
  </si>
  <si>
    <t>Period / As-of</t>
  </si>
  <si>
    <t>Source URL</t>
  </si>
  <si>
    <t>Notes</t>
  </si>
  <si>
    <t>Accessed</t>
  </si>
  <si>
    <t>FY2025 income statement / balance sheet / cash flow</t>
  </si>
  <si>
    <t>FY2025</t>
  </si>
  <si>
    <t>https://autopartner.com/wp-content/uploads/2026/04/SSFY2025_EN.pdf</t>
  </si>
  <si>
    <t>FY2024 and FY2023 historical financials</t>
  </si>
  <si>
    <t>FY2024/FY2023</t>
  </si>
  <si>
    <t>https://autopartner.com/wp-content/uploads/2025/04/SSFY2024_EN-1.pdf</t>
  </si>
  <si>
    <t>Historical KPI table</t>
  </si>
  <si>
    <t>2023-2025</t>
  </si>
  <si>
    <t>https://ir.autopartner.com/en/materials-for-investors/</t>
  </si>
  <si>
    <t>Q1 2026 preliminary results</t>
  </si>
  <si>
    <t>1Q 2026</t>
  </si>
  <si>
    <t>https://autopartner.com/wp-content/uploads/2026/05/Current-Report-No.-9-Inside-information-%E2%80%93-preliminary-estimates-of-consolidated-results-for-Q1-2026.pdf</t>
  </si>
  <si>
    <t>May 2026 revenue update</t>
  </si>
  <si>
    <t>May 2026 / YTD</t>
  </si>
  <si>
    <t>https://autopartner.com/wp-content/uploads/2026/06/Current-Report-No-16-Inside-information-%E2%80%93-Monthly-revenue-report-for-May-2026.pdf</t>
  </si>
  <si>
    <t>Current share price</t>
  </si>
  <si>
    <t>https://ir.autopartner.com/en/stock-market-information/</t>
  </si>
  <si>
    <t>Poland 10Y government bond yield</t>
  </si>
  <si>
    <t>https://tradingeconomics.com/poland/government-bond-yield</t>
  </si>
  <si>
    <t>Poland standard CIT rate</t>
  </si>
  <si>
    <t>https://taxsummaries.pwc.com/poland/corporate/taxes-on-corporate-income</t>
  </si>
  <si>
    <t>Peer trading multiples</t>
  </si>
  <si>
    <t>2026E/2027E</t>
  </si>
  <si>
    <t>https://www.inderes.fi/files/869abfcd-d35a-4ae8-9ff7-9a2c58f5cd6c</t>
  </si>
  <si>
    <t>Metric</t>
  </si>
  <si>
    <t>2026E</t>
  </si>
  <si>
    <t>2027E</t>
  </si>
  <si>
    <t>2028E</t>
  </si>
  <si>
    <t>2029E</t>
  </si>
  <si>
    <t>2030E</t>
  </si>
  <si>
    <t>Source / Rationale</t>
  </si>
  <si>
    <t>Revenue growth</t>
  </si>
  <si>
    <t>Gross margin</t>
  </si>
  <si>
    <t>EBITDA margin</t>
  </si>
  <si>
    <t>D&amp;A / Revenue</t>
  </si>
  <si>
    <t>Capex / Revenue</t>
  </si>
  <si>
    <t>DSO days</t>
  </si>
  <si>
    <t>DIO days</t>
  </si>
  <si>
    <t>DPO days</t>
  </si>
  <si>
    <t>Other current assets / Revenue</t>
  </si>
  <si>
    <t>Other liabilities / Revenue</t>
  </si>
  <si>
    <t>Tax rate</t>
  </si>
  <si>
    <t>Base case cost of debt assumption</t>
  </si>
  <si>
    <t>Dividend payout ratio</t>
  </si>
  <si>
    <t>Market &amp; DCF Assumptions</t>
  </si>
  <si>
    <t>Auto Partner IR stock market info, as of 2026-06-30</t>
  </si>
  <si>
    <t>Shares outstanding</t>
  </si>
  <si>
    <t>Auto Partner IR materials: 130,620,000 shares</t>
  </si>
  <si>
    <t>Market capitalization</t>
  </si>
  <si>
    <t>Formula: share price x shares</t>
  </si>
  <si>
    <t>Net debt</t>
  </si>
  <si>
    <t>Gross debt &amp; leases less cash</t>
  </si>
  <si>
    <t>Risk-free rate</t>
  </si>
  <si>
    <t>Poland 10Y government bond yield, 2026-06-30</t>
  </si>
  <si>
    <t>Equity risk premium</t>
  </si>
  <si>
    <t>Portfolio assumption; update with preferred ERP source</t>
  </si>
  <si>
    <t>Beta</t>
  </si>
  <si>
    <t>Portfolio assumption for auto aftermarket distributor</t>
  </si>
  <si>
    <t>Size / liquidity premium</t>
  </si>
  <si>
    <t>Portfolio assumption for WSE mid-cap liquidity</t>
  </si>
  <si>
    <t>Pre-tax cost of debt</t>
  </si>
  <si>
    <t>Debt weight</t>
  </si>
  <si>
    <t>Cost of equity</t>
  </si>
  <si>
    <t>CAPM + size / liquidity premium</t>
  </si>
  <si>
    <t>After-tax cost of debt</t>
  </si>
  <si>
    <t>Pre-tax cost of debt x (1 - tax rate)</t>
  </si>
  <si>
    <t>WACC</t>
  </si>
  <si>
    <t>Terminal growth</t>
  </si>
  <si>
    <t>Long-run nominal growth assumption</t>
  </si>
  <si>
    <t>Figures in PLN millions, except per-share data</t>
  </si>
  <si>
    <t>2023A</t>
  </si>
  <si>
    <t>2024A</t>
  </si>
  <si>
    <t>2025A</t>
  </si>
  <si>
    <t>Revenue Growth</t>
  </si>
  <si>
    <t>Gross Margin</t>
  </si>
  <si>
    <t>EBITDA</t>
  </si>
  <si>
    <t>EBITDA Margin</t>
  </si>
  <si>
    <t>Depreciation &amp; Amortization</t>
  </si>
  <si>
    <t>EBIT</t>
  </si>
  <si>
    <t>EBIT Margin</t>
  </si>
  <si>
    <t>Net Interest Expense</t>
  </si>
  <si>
    <t>EBT</t>
  </si>
  <si>
    <t>Net Margin</t>
  </si>
  <si>
    <t>EPS</t>
  </si>
  <si>
    <t>Cash</t>
  </si>
  <si>
    <t>Other Current Assets</t>
  </si>
  <si>
    <t>PP&amp;E &amp; Intangibles, Net</t>
  </si>
  <si>
    <t>Other Non-Current Assets</t>
  </si>
  <si>
    <t>Other Liabilities</t>
  </si>
  <si>
    <t>Shareholders' Equity</t>
  </si>
  <si>
    <t>D&amp;A</t>
  </si>
  <si>
    <t>Working Capital</t>
  </si>
  <si>
    <t>Change in Working Capital</t>
  </si>
  <si>
    <t>Cash Flow from Operations</t>
  </si>
  <si>
    <t>Net Change in Cash</t>
  </si>
  <si>
    <t>Ending Cash</t>
  </si>
  <si>
    <t>Discounted Cash Flow Valuation</t>
  </si>
  <si>
    <t>Year</t>
  </si>
  <si>
    <t>NOPAT</t>
  </si>
  <si>
    <t>FCFF</t>
  </si>
  <si>
    <t>Discount Period</t>
  </si>
  <si>
    <t>Discount Factor</t>
  </si>
  <si>
    <t>PV of FCFF</t>
  </si>
  <si>
    <t>Terminal Growth</t>
  </si>
  <si>
    <t>Terminal Value</t>
  </si>
  <si>
    <t>PV of Terminal Value</t>
  </si>
  <si>
    <t>Enterprise Value</t>
  </si>
  <si>
    <t>Net Debt</t>
  </si>
  <si>
    <t>Equity Value</t>
  </si>
  <si>
    <t>Shares Outstanding</t>
  </si>
  <si>
    <t>Implied Share Price - DCF</t>
  </si>
  <si>
    <t>Upside / (Downside)</t>
  </si>
  <si>
    <t>DCF Sensitivity: Implied Share Price</t>
  </si>
  <si>
    <t>WACC / g</t>
  </si>
  <si>
    <t>Comparable Company Valuation</t>
  </si>
  <si>
    <t>EV/EBIT 2026E</t>
  </si>
  <si>
    <t>EV/EBIT 2027E</t>
  </si>
  <si>
    <t>P/E 2026E</t>
  </si>
  <si>
    <t>P/E 2027E</t>
  </si>
  <si>
    <t>Source</t>
  </si>
  <si>
    <t>Relais Group</t>
  </si>
  <si>
    <t>RELAIS.HE</t>
  </si>
  <si>
    <t>Aftermarket parts distributor</t>
  </si>
  <si>
    <t>Inderes</t>
  </si>
  <si>
    <t>Mekonomen</t>
  </si>
  <si>
    <t>MEKO.ST</t>
  </si>
  <si>
    <t>Nordic auto aftermarket</t>
  </si>
  <si>
    <t>Inter Cars</t>
  </si>
  <si>
    <t>CAR.WA</t>
  </si>
  <si>
    <t>CEE auto parts distributor</t>
  </si>
  <si>
    <t>Auto Partner</t>
  </si>
  <si>
    <t>APR.WA</t>
  </si>
  <si>
    <t>Target / market multiple</t>
  </si>
  <si>
    <t>Median Peers ex Auto Partner</t>
  </si>
  <si>
    <t>Comparable Valuation</t>
  </si>
  <si>
    <t>2026E EBIT</t>
  </si>
  <si>
    <t>2027E EBIT</t>
  </si>
  <si>
    <t>2026E Net Income</t>
  </si>
  <si>
    <t>2027E Net Income</t>
  </si>
  <si>
    <t>EV/EBIT 2026E Implied Share Price</t>
  </si>
  <si>
    <t>EV/EBIT 2027E Implied Share Price</t>
  </si>
  <si>
    <t>P/E 2026E Implied Share Price</t>
  </si>
  <si>
    <t>P/E 2027E Implied Share Price</t>
  </si>
  <si>
    <t>Average Comparable Implied Share Price</t>
  </si>
  <si>
    <t>Model Checks</t>
  </si>
  <si>
    <t>Check</t>
  </si>
  <si>
    <t>Location</t>
  </si>
  <si>
    <t>Delta</t>
  </si>
  <si>
    <t>Status</t>
  </si>
  <si>
    <t>Balance Sheet balances - 2023A</t>
  </si>
  <si>
    <t>Total assets less liabilities &amp; equity</t>
  </si>
  <si>
    <t>Balance Sheet balances - 2024A</t>
  </si>
  <si>
    <t>Balance Sheet balances - 2025A</t>
  </si>
  <si>
    <t>Balance Sheet balances - 2026E</t>
  </si>
  <si>
    <t>Balance Sheet balances - 2027E</t>
  </si>
  <si>
    <t>Balance Sheet balances - 2028E</t>
  </si>
  <si>
    <t>Balance Sheet balances - 2029E</t>
  </si>
  <si>
    <t>Balance Sheet balances - 2030E</t>
  </si>
  <si>
    <t>Cash flow ties to cash - 2026E</t>
  </si>
  <si>
    <t>Cash flow ties to cash - 2027E</t>
  </si>
  <si>
    <t>Cash flow ties to cash - 2028E</t>
  </si>
  <si>
    <t>Cash flow ties to cash - 2029E</t>
  </si>
  <si>
    <t>Cash flow ties to cash - 2030E</t>
  </si>
  <si>
    <t>DCF WACC &gt; terminal growth</t>
  </si>
  <si>
    <t>DCF / Assumptions</t>
  </si>
  <si>
    <t>Terminal value formula valid</t>
  </si>
  <si>
    <t>DCF share price positive</t>
  </si>
  <si>
    <t>DCF!B24</t>
  </si>
  <si>
    <t>Sources documented</t>
  </si>
  <si>
    <t>Sources</t>
  </si>
  <si>
    <t>Core source log present</t>
  </si>
  <si>
    <t>Cash / Revenue (output)</t>
  </si>
  <si>
    <t>Interest rate on prior-year debt</t>
  </si>
  <si>
    <t>Balance Sheet balances - 2022A</t>
  </si>
  <si>
    <t>Cash flow ties to cash - 2023A</t>
  </si>
  <si>
    <t>Cash flow ties to cash - 2024A</t>
  </si>
  <si>
    <t>Cash flow ties to cash - 2025A</t>
  </si>
  <si>
    <t>Sanity check; DCF not yet final</t>
  </si>
  <si>
    <t>FY2022 opening balance sheet</t>
  </si>
  <si>
    <t>FY2022 / opening balance</t>
  </si>
  <si>
    <t>https://ir.autopartner.com/wp-content/uploads/2023/09/Consolidated-financial-statements-for-the-year-ended-December-31st-2022_EN.pdf</t>
  </si>
  <si>
    <t>History from 3Stmt; forecast supported by 2026 YTD revenue growth and tapering scale.</t>
  </si>
  <si>
    <t>History from 3Stmt; forecast assumes modest recovery from 2025 gross margin.</t>
  </si>
  <si>
    <t>History from 3Stmt; forecast assumes margin recovery toward 8.5% EBITDA.</t>
  </si>
  <si>
    <t>History from 3Stmt; forecast held near recent D&amp;A intensity.</t>
  </si>
  <si>
    <t>History calculated from taxes / EBT; forecast near FY2025 effective tax rate.</t>
  </si>
  <si>
    <t>History calculated from interest / prior-year debt; forecast base cost of debt assumption.</t>
  </si>
  <si>
    <t>History from 3Stmt; forecast capex normalizes after logistics investment phase. Review: may be low if expansion capex remains elevated.</t>
  </si>
  <si>
    <t>2022 Opening BS</t>
  </si>
  <si>
    <t>Cash Flow Check</t>
  </si>
  <si>
    <t>Balance Sheet Check</t>
  </si>
  <si>
    <t xml:space="preserve">Auto Partner S.A. 3-Statement Model </t>
  </si>
  <si>
    <t>Key Sources</t>
  </si>
  <si>
    <t xml:space="preserve">Investment Thesis </t>
  </si>
  <si>
    <t>Margins</t>
  </si>
  <si>
    <t>Solid revenue growth supported by historical execution and Jan-May 2026 sales momentum.</t>
  </si>
  <si>
    <t>Q1 2026 margin improvement may support FY26 EBITDA margin rebound if sustained.</t>
  </si>
  <si>
    <t>DCF implies modest upside, while comps imply downside.</t>
  </si>
  <si>
    <t>Cash Flow</t>
  </si>
  <si>
    <t>Working-capital intensity remains a key constraint to FCF conversion.</t>
  </si>
  <si>
    <t>3Stmt row 35</t>
  </si>
  <si>
    <t>3Stmt row 47</t>
  </si>
  <si>
    <t>Minimum cash / Revenue</t>
  </si>
  <si>
    <t>Output ratio after cash sweep and revised dividend policy; excess cash used for debt repayment until debt reaches zero.</t>
  </si>
  <si>
    <t>Forecast assumes stable payout in near term, with gradual increase after deleveraging and stronger free cash flow generation.</t>
  </si>
  <si>
    <t>Q1 2026 gross debt &amp; leases</t>
  </si>
  <si>
    <t>Q1 2026 BS: borrowings + lease liabilities</t>
  </si>
  <si>
    <t>Q1 2026 BS cash and equivalents</t>
  </si>
  <si>
    <t>Q1 2026 cash</t>
  </si>
  <si>
    <t>Formula: gross debt / (market capitalization + gross debt)</t>
  </si>
  <si>
    <t>Calculated from market capitalization and gross debt</t>
  </si>
  <si>
    <t>Historical ratio based on aggregated other liabilities from 3Stmt. Forecast held at 3.0% of revenue as a simplified working capital proxy; reported balance includes some tax, provision and employee-related liabilities.</t>
  </si>
  <si>
    <t>Historical ratio based on other current assets from 3Stmt; forecast held at 0.5% of revenue as a simplified operating working capital proxy.</t>
  </si>
  <si>
    <t>Historical DSO calculated from ending accounts receivable / revenue × 365. Forecast assumes gradual collection improvement toward 38.5 days.</t>
  </si>
  <si>
    <t>Historical DIO calculated from ending inventory / COGS × 365. Forecast assumes gradual inventory efficiency improvement toward 126 days.</t>
  </si>
  <si>
    <t>Historical DPO calculated from ending accounts payable / COGS × 365. Forecast assumes modest improvement in supplier payment terms.</t>
  </si>
  <si>
    <t>Minimum operating cash balance set at 2.0% of revenue. Excess cash is used in a simplified debt and lease liability sweep; bank debt and lease liabilities are not separately scheduled.</t>
  </si>
  <si>
    <t>Debt &amp; Lease Liabilities (simplified)</t>
  </si>
  <si>
    <t>Debt / Lease Change (simplified sweep)</t>
  </si>
  <si>
    <t>Cash flow statement ending cash less balance sheet cash</t>
  </si>
  <si>
    <t>Dashboard</t>
  </si>
  <si>
    <t>Historical: 2023A–2025A | Forecast: 2026E–2030E | Currency: PLN mm</t>
  </si>
  <si>
    <t xml:space="preserve">PLN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</si>
</sst>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0.000"/>
    <numFmt numFmtId="167" formatCode="#,##0.0;[Red]\(#,##0.0\);\-"/>
    <numFmt numFmtId="168" formatCode="0.000\x"/>
    <numFmt numFmtId="169" formatCode="0.0\x"/>
    <numFmt numFmtId="170" formatCode="yyyy\-mm\-dd"/>
  </numFmts>
  <fonts count="2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rgb="FF008000"/>
      <name val="Calibri"/>
      <scheme val="minor"/>
    </font>
    <font>
      <b/>
      <sz val="10"/>
      <color rgb="FFC00000"/>
      <name val="Calibri"/>
      <scheme val="minor"/>
    </font>
    <font>
      <sz val="10"/>
      <color rgb="FF0070C0"/>
      <name val="Calibri"/>
      <scheme val="minor"/>
    </font>
    <font>
      <sz val="10"/>
      <color rgb="FF00800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rgb="FFFFFFFF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rgb="FF00B050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b/>
      <sz val="10"/>
      <color rgb="FFFFFFFF"/>
      <name val="Calibri"/>
      <family val="2"/>
      <charset val="238"/>
      <scheme val="minor"/>
    </font>
    <font>
      <b/>
      <sz val="9"/>
      <color rgb="FF000000"/>
      <name val="Tahoma"/>
      <family val="2"/>
      <charset val="238"/>
    </font>
    <font>
      <sz val="9"/>
      <color rgb="FF000000"/>
      <name val="Tahoma"/>
      <family val="2"/>
      <charset val="238"/>
    </font>
    <font>
      <sz val="10"/>
      <color theme="1"/>
      <name val="Calibri"/>
      <family val="2"/>
      <scheme val="minor"/>
    </font>
    <font>
      <sz val="10"/>
      <color theme="4" tint="-0.249977111117893"/>
      <name val="Calibri"/>
      <family val="2"/>
      <charset val="238"/>
      <scheme val="minor"/>
    </font>
    <font>
      <sz val="10"/>
      <color rgb="FF00B050"/>
      <name val="Calibri"/>
      <family val="2"/>
      <charset val="238"/>
      <scheme val="minor"/>
    </font>
    <font>
      <b/>
      <sz val="14"/>
      <color rgb="FFFFFFFF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right" wrapText="1"/>
    </xf>
    <xf numFmtId="14" fontId="4" fillId="0" borderId="0" xfId="0" applyNumberFormat="1" applyFont="1" applyAlignment="1">
      <alignment horizontal="right" wrapText="1"/>
    </xf>
    <xf numFmtId="167" fontId="4" fillId="0" borderId="0" xfId="0" applyNumberFormat="1" applyFont="1"/>
    <xf numFmtId="167" fontId="9" fillId="0" borderId="0" xfId="0" applyNumberFormat="1" applyFont="1"/>
    <xf numFmtId="164" fontId="4" fillId="0" borderId="0" xfId="0" applyNumberFormat="1" applyFont="1"/>
    <xf numFmtId="16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9" fillId="0" borderId="0" xfId="0" applyNumberFormat="1" applyFont="1"/>
    <xf numFmtId="2" fontId="9" fillId="0" borderId="0" xfId="0" applyNumberFormat="1" applyFont="1"/>
    <xf numFmtId="2" fontId="4" fillId="0" borderId="0" xfId="0" applyNumberFormat="1" applyFont="1"/>
    <xf numFmtId="165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right"/>
    </xf>
    <xf numFmtId="164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165" fontId="8" fillId="0" borderId="0" xfId="0" applyNumberFormat="1" applyFont="1" applyAlignment="1">
      <alignment horizontal="right" wrapText="1"/>
    </xf>
    <xf numFmtId="170" fontId="10" fillId="3" borderId="0" xfId="0" applyNumberFormat="1" applyFont="1" applyFill="1" applyAlignment="1">
      <alignment horizontal="right" wrapText="1"/>
    </xf>
    <xf numFmtId="0" fontId="10" fillId="3" borderId="0" xfId="0" applyFont="1" applyFill="1" applyAlignment="1">
      <alignment horizontal="left" wrapText="1"/>
    </xf>
    <xf numFmtId="170" fontId="4" fillId="0" borderId="0" xfId="0" applyNumberFormat="1" applyFont="1" applyAlignment="1">
      <alignment horizontal="right"/>
    </xf>
    <xf numFmtId="0" fontId="4" fillId="4" borderId="0" xfId="0" applyFont="1" applyFill="1"/>
    <xf numFmtId="0" fontId="11" fillId="0" borderId="0" xfId="0" applyFont="1"/>
    <xf numFmtId="0" fontId="12" fillId="0" borderId="0" xfId="0" applyFont="1"/>
    <xf numFmtId="0" fontId="3" fillId="5" borderId="0" xfId="0" applyFont="1" applyFill="1"/>
    <xf numFmtId="0" fontId="3" fillId="5" borderId="2" xfId="0" applyFont="1" applyFill="1" applyBorder="1"/>
    <xf numFmtId="167" fontId="4" fillId="0" borderId="2" xfId="0" applyNumberFormat="1" applyFont="1" applyBorder="1"/>
    <xf numFmtId="164" fontId="4" fillId="0" borderId="2" xfId="0" applyNumberFormat="1" applyFont="1" applyBorder="1"/>
    <xf numFmtId="2" fontId="4" fillId="0" borderId="2" xfId="0" applyNumberFormat="1" applyFont="1" applyBorder="1"/>
    <xf numFmtId="167" fontId="9" fillId="0" borderId="2" xfId="0" applyNumberFormat="1" applyFont="1" applyBorder="1"/>
    <xf numFmtId="0" fontId="13" fillId="6" borderId="0" xfId="0" applyFont="1" applyFill="1"/>
    <xf numFmtId="0" fontId="3" fillId="6" borderId="0" xfId="0" applyFont="1" applyFill="1"/>
    <xf numFmtId="0" fontId="3" fillId="6" borderId="2" xfId="0" applyFont="1" applyFill="1" applyBorder="1"/>
    <xf numFmtId="0" fontId="17" fillId="6" borderId="1" xfId="0" applyFont="1" applyFill="1" applyBorder="1"/>
    <xf numFmtId="0" fontId="15" fillId="6" borderId="1" xfId="0" applyFont="1" applyFill="1" applyBorder="1"/>
    <xf numFmtId="0" fontId="15" fillId="6" borderId="3" xfId="0" applyFont="1" applyFill="1" applyBorder="1"/>
    <xf numFmtId="0" fontId="11" fillId="5" borderId="0" xfId="0" applyFont="1" applyFill="1" applyAlignment="1">
      <alignment horizontal="right" wrapText="1"/>
    </xf>
    <xf numFmtId="0" fontId="4" fillId="5" borderId="0" xfId="0" applyFont="1" applyFill="1" applyAlignment="1">
      <alignment horizontal="right" wrapText="1"/>
    </xf>
    <xf numFmtId="0" fontId="3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11" fillId="0" borderId="0" xfId="0" applyFont="1" applyAlignment="1">
      <alignment horizontal="right" wrapText="1"/>
    </xf>
    <xf numFmtId="0" fontId="4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11" fillId="0" borderId="0" xfId="0" applyFont="1" applyAlignment="1">
      <alignment horizontal="left"/>
    </xf>
    <xf numFmtId="0" fontId="18" fillId="6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quotePrefix="1" applyFont="1" applyAlignment="1">
      <alignment horizontal="right"/>
    </xf>
    <xf numFmtId="0" fontId="17" fillId="6" borderId="0" xfId="0" applyFont="1" applyFill="1"/>
    <xf numFmtId="10" fontId="22" fillId="0" borderId="0" xfId="0" applyNumberFormat="1" applyFont="1" applyAlignment="1">
      <alignment horizontal="right"/>
    </xf>
    <xf numFmtId="0" fontId="3" fillId="5" borderId="0" xfId="0" applyFont="1" applyFill="1" applyAlignment="1">
      <alignment horizontal="left"/>
    </xf>
    <xf numFmtId="0" fontId="4" fillId="5" borderId="0" xfId="0" applyFont="1" applyFill="1" applyAlignment="1">
      <alignment horizontal="left" wrapText="1"/>
    </xf>
    <xf numFmtId="0" fontId="4" fillId="5" borderId="0" xfId="0" applyFont="1" applyFill="1" applyAlignment="1">
      <alignment horizontal="left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right" wrapText="1"/>
    </xf>
    <xf numFmtId="0" fontId="14" fillId="7" borderId="0" xfId="0" applyFont="1" applyFill="1"/>
    <xf numFmtId="0" fontId="5" fillId="7" borderId="0" xfId="0" applyFont="1" applyFill="1"/>
    <xf numFmtId="0" fontId="16" fillId="7" borderId="0" xfId="0" applyFont="1" applyFill="1"/>
    <xf numFmtId="0" fontId="5" fillId="7" borderId="2" xfId="0" applyFont="1" applyFill="1" applyBorder="1"/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right"/>
    </xf>
    <xf numFmtId="0" fontId="15" fillId="7" borderId="0" xfId="0" applyFont="1" applyFill="1" applyAlignment="1">
      <alignment horizontal="left" wrapText="1"/>
    </xf>
    <xf numFmtId="0" fontId="15" fillId="7" borderId="0" xfId="0" applyFont="1" applyFill="1" applyAlignment="1">
      <alignment horizontal="right" wrapText="1"/>
    </xf>
    <xf numFmtId="0" fontId="5" fillId="7" borderId="0" xfId="0" applyFont="1" applyFill="1" applyAlignment="1">
      <alignment horizontal="right" wrapText="1"/>
    </xf>
    <xf numFmtId="0" fontId="16" fillId="4" borderId="0" xfId="0" applyFont="1" applyFill="1"/>
    <xf numFmtId="167" fontId="16" fillId="4" borderId="0" xfId="0" applyNumberFormat="1" applyFont="1" applyFill="1"/>
    <xf numFmtId="164" fontId="16" fillId="4" borderId="0" xfId="0" applyNumberFormat="1" applyFont="1" applyFill="1"/>
    <xf numFmtId="2" fontId="16" fillId="4" borderId="0" xfId="0" applyNumberFormat="1" applyFont="1" applyFill="1"/>
    <xf numFmtId="0" fontId="16" fillId="6" borderId="1" xfId="0" applyFont="1" applyFill="1" applyBorder="1"/>
    <xf numFmtId="0" fontId="23" fillId="4" borderId="0" xfId="0" applyFont="1" applyFill="1"/>
    <xf numFmtId="0" fontId="24" fillId="6" borderId="0" xfId="0" applyFont="1" applyFill="1" applyAlignment="1">
      <alignment horizontal="left"/>
    </xf>
    <xf numFmtId="49" fontId="2" fillId="0" borderId="0" xfId="2" applyNumberFormat="1" applyAlignment="1">
      <alignment horizontal="right" wrapText="1"/>
    </xf>
    <xf numFmtId="49" fontId="2" fillId="3" borderId="0" xfId="2" applyNumberFormat="1" applyFill="1" applyAlignment="1">
      <alignment horizontal="left" wrapText="1"/>
    </xf>
    <xf numFmtId="49" fontId="4" fillId="0" borderId="0" xfId="0" applyNumberFormat="1" applyFont="1" applyAlignment="1">
      <alignment horizontal="right" wrapText="1"/>
    </xf>
    <xf numFmtId="0" fontId="5" fillId="5" borderId="0" xfId="0" applyFont="1" applyFill="1" applyAlignment="1">
      <alignment horizontal="left"/>
    </xf>
    <xf numFmtId="2" fontId="5" fillId="5" borderId="0" xfId="0" applyNumberFormat="1" applyFont="1" applyFill="1" applyAlignment="1">
      <alignment horizontal="right"/>
    </xf>
    <xf numFmtId="164" fontId="5" fillId="7" borderId="0" xfId="0" applyNumberFormat="1" applyFont="1" applyFill="1" applyAlignment="1">
      <alignment horizontal="right"/>
    </xf>
    <xf numFmtId="164" fontId="15" fillId="6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8" borderId="0" xfId="0" applyFont="1" applyFill="1" applyAlignment="1">
      <alignment horizontal="right"/>
    </xf>
    <xf numFmtId="169" fontId="5" fillId="7" borderId="0" xfId="0" applyNumberFormat="1" applyFont="1" applyFill="1" applyAlignment="1">
      <alignment horizontal="right"/>
    </xf>
    <xf numFmtId="0" fontId="0" fillId="7" borderId="0" xfId="0" applyFill="1"/>
  </cellXfs>
  <cellStyles count="3">
    <cellStyle name="Hiperłącze" xfId="2" builtinId="8"/>
    <cellStyle name="Hyperlink 2" xfId="1" xr:uid="{B27EC12D-F977-4F06-8E0B-10E23EB427CF}"/>
    <cellStyle name="Normalny" xfId="0" builtinId="0"/>
  </cellStyles>
  <dxfs count="0"/>
  <tableStyles count="0" defaultTableStyle="TableStyleMedium2" defaultPivotStyle="PivotStyleLight16"/>
  <colors>
    <mruColors>
      <color rgb="FF0432FF"/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Revenue Growth and EBITDA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B5-4221-AB7A-4DBF4728BCD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B5-4221-AB7A-4DBF4728BCD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B5-4221-AB7A-4DBF4728BCD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B5-4221-AB7A-4DBF4728BCD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B5-4221-AB7A-4DBF4728BCD2}"/>
              </c:ext>
            </c:extLst>
          </c:dPt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'3Stmt'!$C$4:$J$4</c:f>
              <c:numCache>
                <c:formatCode>#,##0.0;[Red]\(#,##0.0\);\-</c:formatCode>
                <c:ptCount val="8"/>
                <c:pt idx="0">
                  <c:v>3653.384</c:v>
                </c:pt>
                <c:pt idx="1">
                  <c:v>4112.4970000000003</c:v>
                </c:pt>
                <c:pt idx="2">
                  <c:v>4424.8950000000004</c:v>
                </c:pt>
                <c:pt idx="3">
                  <c:v>4889.5089750000006</c:v>
                </c:pt>
                <c:pt idx="4">
                  <c:v>5280.6696930000007</c:v>
                </c:pt>
                <c:pt idx="5">
                  <c:v>5623.9132230450004</c:v>
                </c:pt>
                <c:pt idx="6">
                  <c:v>5933.2284503124747</c:v>
                </c:pt>
                <c:pt idx="7">
                  <c:v>6200.2237305765357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B5-4221-AB7A-4DBF4728B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1967952"/>
        <c:axId val="432056672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'3Stmt'!$C$10:$J$10</c:f>
              <c:numCache>
                <c:formatCode>0.0%</c:formatCode>
                <c:ptCount val="8"/>
                <c:pt idx="0">
                  <c:v>9.4769123639891123E-2</c:v>
                </c:pt>
                <c:pt idx="1">
                  <c:v>8.3539513828216769E-2</c:v>
                </c:pt>
                <c:pt idx="2">
                  <c:v>7.6206554053824996E-2</c:v>
                </c:pt>
                <c:pt idx="3">
                  <c:v>8.2000000000000003E-2</c:v>
                </c:pt>
                <c:pt idx="4">
                  <c:v>8.3000000000000004E-2</c:v>
                </c:pt>
                <c:pt idx="5">
                  <c:v>8.4000000000000005E-2</c:v>
                </c:pt>
                <c:pt idx="6">
                  <c:v>8.5000000000000006E-2</c:v>
                </c:pt>
                <c:pt idx="7">
                  <c:v>8.500000000000002E-2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B5-4221-AB7A-4DBF4728B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961328"/>
        <c:axId val="432044192"/>
      </c:lineChart>
      <c:catAx>
        <c:axId val="58196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2056672"/>
        <c:crosses val="autoZero"/>
        <c:auto val="1"/>
        <c:lblAlgn val="ctr"/>
        <c:lblOffset val="100"/>
        <c:noMultiLvlLbl val="0"/>
      </c:catAx>
      <c:valAx>
        <c:axId val="4320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1967952"/>
        <c:crosses val="autoZero"/>
        <c:crossBetween val="between"/>
      </c:valAx>
      <c:valAx>
        <c:axId val="43204419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38961328"/>
        <c:crosses val="max"/>
        <c:crossBetween val="between"/>
      </c:valAx>
      <c:catAx>
        <c:axId val="538961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2044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Historical and Forecast Profitability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'3Stmt'!$C$8:$J$8</c:f>
              <c:numCache>
                <c:formatCode>0.0%</c:formatCode>
                <c:ptCount val="8"/>
                <c:pt idx="0">
                  <c:v>0.27094852334164704</c:v>
                </c:pt>
                <c:pt idx="1">
                  <c:v>0.27409649174212175</c:v>
                </c:pt>
                <c:pt idx="2">
                  <c:v>0.26556517160294207</c:v>
                </c:pt>
                <c:pt idx="3">
                  <c:v>0.27500000000000002</c:v>
                </c:pt>
                <c:pt idx="4">
                  <c:v>0.27300000000000002</c:v>
                </c:pt>
                <c:pt idx="5">
                  <c:v>0.27200000000000002</c:v>
                </c:pt>
                <c:pt idx="6">
                  <c:v>0.27200000000000002</c:v>
                </c:pt>
                <c:pt idx="7">
                  <c:v>0.27200000000000002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B-44EC-A94B-89F08D27C564}"/>
            </c:ext>
          </c:extLst>
        </c:ser>
        <c:ser>
          <c:idx val="1"/>
          <c:order val="1"/>
          <c:tx>
            <c:v>EBITDA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'3Stmt'!$C$10:$J$10</c:f>
              <c:numCache>
                <c:formatCode>0.0%</c:formatCode>
                <c:ptCount val="8"/>
                <c:pt idx="0">
                  <c:v>9.4769123639891123E-2</c:v>
                </c:pt>
                <c:pt idx="1">
                  <c:v>8.3539513828216769E-2</c:v>
                </c:pt>
                <c:pt idx="2">
                  <c:v>7.6206554053824996E-2</c:v>
                </c:pt>
                <c:pt idx="3">
                  <c:v>8.2000000000000003E-2</c:v>
                </c:pt>
                <c:pt idx="4">
                  <c:v>8.3000000000000004E-2</c:v>
                </c:pt>
                <c:pt idx="5">
                  <c:v>8.4000000000000005E-2</c:v>
                </c:pt>
                <c:pt idx="6">
                  <c:v>8.5000000000000006E-2</c:v>
                </c:pt>
                <c:pt idx="7">
                  <c:v>8.500000000000002E-2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B-44EC-A94B-89F08D27C564}"/>
            </c:ext>
          </c:extLst>
        </c:ser>
        <c:ser>
          <c:idx val="2"/>
          <c:order val="2"/>
          <c:tx>
            <c:v>Net Margin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'3Stmt'!$C$18:$J$18</c:f>
              <c:numCache>
                <c:formatCode>0.0%</c:formatCode>
                <c:ptCount val="8"/>
                <c:pt idx="0">
                  <c:v>6.1199698690310139E-2</c:v>
                </c:pt>
                <c:pt idx="1">
                  <c:v>5.0571708623738811E-2</c:v>
                </c:pt>
                <c:pt idx="2">
                  <c:v>4.4957450967763067E-2</c:v>
                </c:pt>
                <c:pt idx="3">
                  <c:v>4.9168050715583354E-2</c:v>
                </c:pt>
                <c:pt idx="4">
                  <c:v>5.1033198844769569E-2</c:v>
                </c:pt>
                <c:pt idx="5">
                  <c:v>5.3398767798457716E-2</c:v>
                </c:pt>
                <c:pt idx="6">
                  <c:v>5.6011826895674528E-2</c:v>
                </c:pt>
                <c:pt idx="7">
                  <c:v>5.7775271523765832E-2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EB-44EC-A94B-89F08D27C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449920"/>
        <c:axId val="1317100447"/>
      </c:lineChart>
      <c:catAx>
        <c:axId val="62644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7100447"/>
        <c:crosses val="autoZero"/>
        <c:auto val="1"/>
        <c:lblAlgn val="ctr"/>
        <c:lblOffset val="100"/>
        <c:noMultiLvlLbl val="0"/>
      </c:catAx>
      <c:valAx>
        <c:axId val="13171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644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Earnings and Cash Flow Conversion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'3Stmt'!$C$37:$J$37</c:f>
              <c:numCache>
                <c:formatCode>#,##0.0;[Red]\(#,##0.0\);\-</c:formatCode>
                <c:ptCount val="8"/>
                <c:pt idx="0">
                  <c:v>223.58600000000001</c:v>
                </c:pt>
                <c:pt idx="1">
                  <c:v>207.976</c:v>
                </c:pt>
                <c:pt idx="2">
                  <c:v>198.93199999999999</c:v>
                </c:pt>
                <c:pt idx="3">
                  <c:v>240.40762525710002</c:v>
                </c:pt>
                <c:pt idx="4">
                  <c:v>269.48946647641731</c:v>
                </c:pt>
                <c:pt idx="5">
                  <c:v>300.31003631605591</c:v>
                </c:pt>
                <c:pt idx="6">
                  <c:v>332.33096489139359</c:v>
                </c:pt>
                <c:pt idx="7">
                  <c:v>358.21960954215569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E-4CE2-BD7B-229398FB38B9}"/>
            </c:ext>
          </c:extLst>
        </c:ser>
        <c:ser>
          <c:idx val="1"/>
          <c:order val="1"/>
          <c:tx>
            <c:v>Cash Flow from Operations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'3Stmt'!$C$41:$J$41</c:f>
              <c:numCache>
                <c:formatCode>#,##0.0;[Red]\(#,##0.0\);\-</c:formatCode>
                <c:ptCount val="8"/>
                <c:pt idx="0">
                  <c:v>180.08500000000001</c:v>
                </c:pt>
                <c:pt idx="1">
                  <c:v>124.15300000000001</c:v>
                </c:pt>
                <c:pt idx="2">
                  <c:v>151.96700000000001</c:v>
                </c:pt>
                <c:pt idx="3">
                  <c:v>198.81797649459975</c:v>
                </c:pt>
                <c:pt idx="4">
                  <c:v>242.8582267054374</c:v>
                </c:pt>
                <c:pt idx="5">
                  <c:v>297.63251976788172</c:v>
                </c:pt>
                <c:pt idx="6">
                  <c:v>337.57057224153766</c:v>
                </c:pt>
                <c:pt idx="7">
                  <c:v>383.0674826294516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E-4CE2-BD7B-229398FB38B9}"/>
            </c:ext>
          </c:extLst>
        </c:ser>
        <c:ser>
          <c:idx val="2"/>
          <c:order val="2"/>
          <c:tx>
            <c:v>Capex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'3Stmt'!$C$42:$J$42</c:f>
              <c:numCache>
                <c:formatCode>#,##0.0;[Red]\(#,##0.0\);\-</c:formatCode>
                <c:ptCount val="8"/>
                <c:pt idx="0">
                  <c:v>-37.978999999999999</c:v>
                </c:pt>
                <c:pt idx="1">
                  <c:v>-45.758000000000003</c:v>
                </c:pt>
                <c:pt idx="2">
                  <c:v>-37.527000000000001</c:v>
                </c:pt>
                <c:pt idx="3">
                  <c:v>-63.563616675000006</c:v>
                </c:pt>
                <c:pt idx="4">
                  <c:v>-63.368036316000008</c:v>
                </c:pt>
                <c:pt idx="5">
                  <c:v>-61.863045453495005</c:v>
                </c:pt>
                <c:pt idx="6">
                  <c:v>-65.265512953437224</c:v>
                </c:pt>
                <c:pt idx="7">
                  <c:v>-68.202461036341887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6E-4CE2-BD7B-229398FB3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364016"/>
        <c:axId val="431071008"/>
      </c:barChart>
      <c:catAx>
        <c:axId val="57636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1071008"/>
        <c:crosses val="autoZero"/>
        <c:auto val="1"/>
        <c:lblAlgn val="ctr"/>
        <c:lblOffset val="100"/>
        <c:noMultiLvlLbl val="0"/>
      </c:catAx>
      <c:valAx>
        <c:axId val="43107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636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Debt and Cash Position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'3Stmt'!$C$21:$J$21</c:f>
              <c:numCache>
                <c:formatCode>#,##0.0;[Red]\(#,##0.0\);\-</c:formatCode>
                <c:ptCount val="8"/>
                <c:pt idx="0">
                  <c:v>37.36</c:v>
                </c:pt>
                <c:pt idx="1">
                  <c:v>38.584000000000003</c:v>
                </c:pt>
                <c:pt idx="2">
                  <c:v>51.588000000000001</c:v>
                </c:pt>
                <c:pt idx="3">
                  <c:v>97.79017950000005</c:v>
                </c:pt>
                <c:pt idx="4">
                  <c:v>105.61339386</c:v>
                </c:pt>
                <c:pt idx="5">
                  <c:v>112.47826446090005</c:v>
                </c:pt>
                <c:pt idx="6">
                  <c:v>118.66456900624954</c:v>
                </c:pt>
                <c:pt idx="7">
                  <c:v>329.48584548042868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C-4963-A888-A5FD02D5ACA3}"/>
            </c:ext>
          </c:extLst>
        </c:ser>
        <c:ser>
          <c:idx val="1"/>
          <c:order val="1"/>
          <c:tx>
            <c:v>Debt &amp; Lease Liabilities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'3Stmt'!$C$2:$J$2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'3Stmt'!$C$30:$J$30</c:f>
              <c:numCache>
                <c:formatCode>#,##0.0;[Red]\(#,##0.0\);\-</c:formatCode>
                <c:ptCount val="8"/>
                <c:pt idx="0">
                  <c:v>490</c:v>
                </c:pt>
                <c:pt idx="1">
                  <c:v>526.61300000000006</c:v>
                </c:pt>
                <c:pt idx="2">
                  <c:v>639.36099999999999</c:v>
                </c:pt>
                <c:pt idx="3">
                  <c:v>574.34958220611031</c:v>
                </c:pt>
                <c:pt idx="4">
                  <c:v>429.63155282431461</c:v>
                </c:pt>
                <c:pt idx="5">
                  <c:v>230.75795274243353</c:v>
                </c:pt>
                <c:pt idx="6">
                  <c:v>14.488842733391607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7C-4963-A888-A5FD02D5A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439248"/>
        <c:axId val="431070048"/>
      </c:lineChart>
      <c:catAx>
        <c:axId val="6264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1070048"/>
        <c:crosses val="autoZero"/>
        <c:auto val="1"/>
        <c:lblAlgn val="ctr"/>
        <c:lblOffset val="100"/>
        <c:noMultiLvlLbl val="0"/>
      </c:catAx>
      <c:valAx>
        <c:axId val="43107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264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Valuation Summary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2D-421C-A65E-9FBF85BCD6C9}"/>
              </c:ext>
            </c:extLst>
          </c:dPt>
          <c:dLbls>
            <c:dLbl>
              <c:idx val="1"/>
              <c:layout>
                <c:manualLayout>
                  <c:x val="0"/>
                  <c:y val="-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2D-421C-A65E-9FBF85BCD6C9}"/>
                </c:ext>
              </c:extLst>
            </c:dLbl>
            <c:numFmt formatCode="#,##0.0\ [$PLN]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Cover!$A$9:$A$11</c:f>
              <c:strCache>
                <c:ptCount val="3"/>
                <c:pt idx="0">
                  <c:v>Current Share Price</c:v>
                </c:pt>
                <c:pt idx="1">
                  <c:v>DCF Implied Share Price</c:v>
                </c:pt>
                <c:pt idx="2">
                  <c:v>Comps Implied Share Price</c:v>
                </c:pt>
              </c:strCache>
            </c:strRef>
          </c:cat>
          <c:val>
            <c:numRef>
              <c:f>Cover!$B$9:$B$11</c:f>
              <c:numCache>
                <c:formatCode>0.00</c:formatCode>
                <c:ptCount val="3"/>
                <c:pt idx="0">
                  <c:v>24.9</c:v>
                </c:pt>
                <c:pt idx="1">
                  <c:v>27.368409378390218</c:v>
                </c:pt>
                <c:pt idx="2">
                  <c:v>22.39518790269333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D-421C-A65E-9FBF85BCD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7279760"/>
        <c:axId val="431079648"/>
      </c:barChart>
      <c:catAx>
        <c:axId val="577279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1079648"/>
        <c:crosses val="autoZero"/>
        <c:auto val="1"/>
        <c:lblAlgn val="ctr"/>
        <c:lblOffset val="100"/>
        <c:noMultiLvlLbl val="0"/>
      </c:catAx>
      <c:valAx>
        <c:axId val="431079648"/>
        <c:scaling>
          <c:orientation val="minMax"/>
          <c:max val="31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7727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Working Capital Cycle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DSO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Assumptions!$B$3:$I$3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Assumptions!$B$10:$I$10</c:f>
              <c:numCache>
                <c:formatCode>0.0</c:formatCode>
                <c:ptCount val="8"/>
                <c:pt idx="0">
                  <c:v>35.670029484992547</c:v>
                </c:pt>
                <c:pt idx="1">
                  <c:v>37.355613876435648</c:v>
                </c:pt>
                <c:pt idx="2">
                  <c:v>41.003959415986138</c:v>
                </c:pt>
                <c:pt idx="3">
                  <c:v>40.5</c:v>
                </c:pt>
                <c:pt idx="4">
                  <c:v>40</c:v>
                </c:pt>
                <c:pt idx="5">
                  <c:v>39.5</c:v>
                </c:pt>
                <c:pt idx="6">
                  <c:v>39</c:v>
                </c:pt>
                <c:pt idx="7">
                  <c:v>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E-43D3-B665-9378CC79B0E3}"/>
            </c:ext>
          </c:extLst>
        </c:ser>
        <c:ser>
          <c:idx val="1"/>
          <c:order val="1"/>
          <c:tx>
            <c:v>DIO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Assumptions!$B$3:$I$3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Assumptions!$B$11:$I$11</c:f>
              <c:numCache>
                <c:formatCode>0.0</c:formatCode>
                <c:ptCount val="8"/>
                <c:pt idx="0">
                  <c:v>137.90999266004755</c:v>
                </c:pt>
                <c:pt idx="1">
                  <c:v>136.95722439064261</c:v>
                </c:pt>
                <c:pt idx="2">
                  <c:v>134.22786869456769</c:v>
                </c:pt>
                <c:pt idx="3">
                  <c:v>132</c:v>
                </c:pt>
                <c:pt idx="4">
                  <c:v>130</c:v>
                </c:pt>
                <c:pt idx="5">
                  <c:v>128</c:v>
                </c:pt>
                <c:pt idx="6">
                  <c:v>127</c:v>
                </c:pt>
                <c:pt idx="7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E-43D3-B665-9378CC79B0E3}"/>
            </c:ext>
          </c:extLst>
        </c:ser>
        <c:ser>
          <c:idx val="2"/>
          <c:order val="2"/>
          <c:tx>
            <c:v>DPO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Assumptions!$B$3:$I$3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Assumptions!$B$12:$I$12</c:f>
              <c:numCache>
                <c:formatCode>0.0</c:formatCode>
                <c:ptCount val="8"/>
                <c:pt idx="0">
                  <c:v>21.11843416851104</c:v>
                </c:pt>
                <c:pt idx="1">
                  <c:v>17.746040902080747</c:v>
                </c:pt>
                <c:pt idx="2">
                  <c:v>16.29158528978887</c:v>
                </c:pt>
                <c:pt idx="3">
                  <c:v>16.5</c:v>
                </c:pt>
                <c:pt idx="4">
                  <c:v>16.8</c:v>
                </c:pt>
                <c:pt idx="5">
                  <c:v>17</c:v>
                </c:pt>
                <c:pt idx="6">
                  <c:v>17.2</c:v>
                </c:pt>
                <c:pt idx="7">
                  <c:v>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7E-43D3-B665-9378CC79B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287184"/>
        <c:axId val="431084928"/>
      </c:lineChart>
      <c:catAx>
        <c:axId val="5772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1084928"/>
        <c:crosses val="autoZero"/>
        <c:auto val="1"/>
        <c:lblAlgn val="ctr"/>
        <c:lblOffset val="100"/>
        <c:noMultiLvlLbl val="0"/>
      </c:catAx>
      <c:valAx>
        <c:axId val="43108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72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114300</xdr:rowOff>
    </xdr:from>
    <xdr:to>
      <xdr:col>6</xdr:col>
      <xdr:colOff>550769</xdr:colOff>
      <xdr:row>16</xdr:row>
      <xdr:rowOff>33618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58E31CB-E2A6-40BB-A0D9-D61BFFE1C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575422</xdr:colOff>
      <xdr:row>2</xdr:row>
      <xdr:rowOff>114300</xdr:rowOff>
    </xdr:from>
    <xdr:to>
      <xdr:col>13</xdr:col>
      <xdr:colOff>346822</xdr:colOff>
      <xdr:row>16</xdr:row>
      <xdr:rowOff>57150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74C5EEB-7F2A-4EDE-A8E4-9CC3495F3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371475</xdr:colOff>
      <xdr:row>2</xdr:row>
      <xdr:rowOff>114300</xdr:rowOff>
    </xdr:from>
    <xdr:to>
      <xdr:col>20</xdr:col>
      <xdr:colOff>142875</xdr:colOff>
      <xdr:row>16</xdr:row>
      <xdr:rowOff>57150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817BF12-6EE8-487B-A5C4-4D05DA553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16</xdr:row>
      <xdr:rowOff>47625</xdr:rowOff>
    </xdr:from>
    <xdr:to>
      <xdr:col>6</xdr:col>
      <xdr:colOff>542925</xdr:colOff>
      <xdr:row>29</xdr:row>
      <xdr:rowOff>190500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05FA534-411F-4720-89F4-4CD6C56A4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542925</xdr:colOff>
      <xdr:row>16</xdr:row>
      <xdr:rowOff>47625</xdr:rowOff>
    </xdr:from>
    <xdr:to>
      <xdr:col>13</xdr:col>
      <xdr:colOff>314325</xdr:colOff>
      <xdr:row>29</xdr:row>
      <xdr:rowOff>190500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E2D30C8F-FBDF-4203-A981-42A6E0B8F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314325</xdr:colOff>
      <xdr:row>16</xdr:row>
      <xdr:rowOff>47625</xdr:rowOff>
    </xdr:from>
    <xdr:to>
      <xdr:col>20</xdr:col>
      <xdr:colOff>85725</xdr:colOff>
      <xdr:row>29</xdr:row>
      <xdr:rowOff>190500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48DEEF3C-1802-4BED-9C0C-313215972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565DA1-1685-4E58-B0AC-8F304423701F}">
  <we:reference id="wa200010215" version="2.0.0.0" store="pl-PL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r.autopartner.com/en/materials-for-investors/" TargetMode="External"/><Relationship Id="rId3" Type="http://schemas.openxmlformats.org/officeDocument/2006/relationships/hyperlink" Target="https://taxsummaries.pwc.com/poland/corporate/taxes-on-corporate-income" TargetMode="External"/><Relationship Id="rId7" Type="http://schemas.openxmlformats.org/officeDocument/2006/relationships/hyperlink" Target="https://autopartner.com/wp-content/uploads/2026/05/Current-Report-No.-9-Inside-information-%E2%80%93-preliminary-estimates-of-consolidated-results-for-Q1-2026.pdf" TargetMode="External"/><Relationship Id="rId2" Type="http://schemas.openxmlformats.org/officeDocument/2006/relationships/hyperlink" Target="https://www.inderes.fi/files/869abfcd-d35a-4ae8-9ff7-9a2c58f5cd6c" TargetMode="External"/><Relationship Id="rId1" Type="http://schemas.openxmlformats.org/officeDocument/2006/relationships/hyperlink" Target="https://ir.autopartner.com/wp-content/uploads/2023/09/Consolidated-financial-statements-for-the-year-ended-December-31st-2022_EN.pdf" TargetMode="External"/><Relationship Id="rId6" Type="http://schemas.openxmlformats.org/officeDocument/2006/relationships/hyperlink" Target="https://autopartner.com/wp-content/uploads/2026/06/Current-Report-No-16-Inside-information-%E2%80%93-Monthly-revenue-report-for-May-2026.pdf" TargetMode="External"/><Relationship Id="rId5" Type="http://schemas.openxmlformats.org/officeDocument/2006/relationships/hyperlink" Target="https://ir.autopartner.com/en/stock-market-information/" TargetMode="External"/><Relationship Id="rId10" Type="http://schemas.openxmlformats.org/officeDocument/2006/relationships/hyperlink" Target="https://autopartner.com/wp-content/uploads/2026/04/SSFY2025_EN.pdf" TargetMode="External"/><Relationship Id="rId4" Type="http://schemas.openxmlformats.org/officeDocument/2006/relationships/hyperlink" Target="https://tradingeconomics.com/poland/government-bond-yield" TargetMode="External"/><Relationship Id="rId9" Type="http://schemas.openxmlformats.org/officeDocument/2006/relationships/hyperlink" Target="https://autopartner.com/wp-content/uploads/2025/04/SSFY2024_EN-1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2E95-2BFD-B543-A2B5-EF1EEC291FAD}">
  <dimension ref="A1:AA134"/>
  <sheetViews>
    <sheetView showGridLines="0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35" sqref="Q35"/>
    </sheetView>
  </sheetViews>
  <sheetFormatPr defaultColWidth="8.875" defaultRowHeight="15.75" x14ac:dyDescent="0.25"/>
  <cols>
    <col min="1" max="1" width="32.5" style="39" customWidth="1"/>
    <col min="2" max="2" width="12.5" style="38" hidden="1" customWidth="1"/>
    <col min="3" max="10" width="13.625" style="2" customWidth="1"/>
    <col min="11" max="27" width="8.875" style="2"/>
  </cols>
  <sheetData>
    <row r="1" spans="1:10" ht="18.75" customHeight="1" x14ac:dyDescent="0.25">
      <c r="A1" s="47" t="s">
        <v>249</v>
      </c>
      <c r="B1" s="48"/>
      <c r="C1" s="48"/>
      <c r="D1" s="48"/>
      <c r="E1" s="48"/>
      <c r="F1" s="49"/>
      <c r="G1" s="48"/>
      <c r="H1" s="48"/>
      <c r="I1" s="48"/>
      <c r="J1" s="48"/>
    </row>
    <row r="2" spans="1:10" x14ac:dyDescent="0.25">
      <c r="A2" s="73" t="s">
        <v>127</v>
      </c>
      <c r="B2" s="74" t="s">
        <v>246</v>
      </c>
      <c r="C2" s="75" t="s">
        <v>128</v>
      </c>
      <c r="D2" s="75" t="s">
        <v>129</v>
      </c>
      <c r="E2" s="75" t="s">
        <v>130</v>
      </c>
      <c r="F2" s="76" t="s">
        <v>83</v>
      </c>
      <c r="G2" s="74" t="s">
        <v>84</v>
      </c>
      <c r="H2" s="74" t="s">
        <v>85</v>
      </c>
      <c r="I2" s="74" t="s">
        <v>86</v>
      </c>
      <c r="J2" s="74" t="s">
        <v>87</v>
      </c>
    </row>
    <row r="3" spans="1:10" x14ac:dyDescent="0.25">
      <c r="A3" s="66" t="s">
        <v>0</v>
      </c>
      <c r="B3" s="82"/>
      <c r="C3" s="41"/>
      <c r="D3" s="41"/>
      <c r="E3" s="41"/>
      <c r="F3" s="42"/>
      <c r="G3" s="41"/>
      <c r="H3" s="41"/>
      <c r="I3" s="41"/>
      <c r="J3" s="41"/>
    </row>
    <row r="4" spans="1:10" x14ac:dyDescent="0.25">
      <c r="A4" s="40" t="s">
        <v>3</v>
      </c>
      <c r="B4" s="83">
        <v>2834.701</v>
      </c>
      <c r="C4" s="12">
        <v>3653.384</v>
      </c>
      <c r="D4" s="12">
        <v>4112.4970000000003</v>
      </c>
      <c r="E4" s="12">
        <v>4424.8950000000004</v>
      </c>
      <c r="F4" s="43">
        <f>E4*(1+Assumptions!E$4)</f>
        <v>4889.5089750000006</v>
      </c>
      <c r="G4" s="11">
        <f>F4*(1+Assumptions!F$4)</f>
        <v>5280.6696930000007</v>
      </c>
      <c r="H4" s="11">
        <f>G4*(1+Assumptions!G$4)</f>
        <v>5623.9132230450004</v>
      </c>
      <c r="I4" s="11">
        <f>H4*(1+Assumptions!H$4)</f>
        <v>5933.2284503124747</v>
      </c>
      <c r="J4" s="11">
        <f>I4*(1+Assumptions!I$4)</f>
        <v>6200.2237305765357</v>
      </c>
    </row>
    <row r="5" spans="1:10" x14ac:dyDescent="0.25">
      <c r="A5" s="39" t="s">
        <v>131</v>
      </c>
      <c r="B5" s="84"/>
      <c r="C5" s="21">
        <f>C4/B4-1</f>
        <v>0.28880753208186682</v>
      </c>
      <c r="D5" s="21">
        <f t="shared" ref="D5:J5" si="0">D4/C4-1</f>
        <v>0.12566787394919343</v>
      </c>
      <c r="E5" s="21">
        <f t="shared" si="0"/>
        <v>7.5963094927485653E-2</v>
      </c>
      <c r="F5" s="44">
        <f t="shared" si="0"/>
        <v>0.10499999999999998</v>
      </c>
      <c r="G5" s="13">
        <f t="shared" si="0"/>
        <v>8.0000000000000071E-2</v>
      </c>
      <c r="H5" s="13">
        <f t="shared" si="0"/>
        <v>6.4999999999999947E-2</v>
      </c>
      <c r="I5" s="13">
        <f t="shared" si="0"/>
        <v>5.4999999999999938E-2</v>
      </c>
      <c r="J5" s="13">
        <f t="shared" si="0"/>
        <v>4.4999999999999929E-2</v>
      </c>
    </row>
    <row r="6" spans="1:10" x14ac:dyDescent="0.25">
      <c r="A6" s="39" t="s">
        <v>5</v>
      </c>
      <c r="B6" s="83"/>
      <c r="C6" s="12">
        <v>2663.5050000000001</v>
      </c>
      <c r="D6" s="12">
        <v>2985.2759999999998</v>
      </c>
      <c r="E6" s="12">
        <v>3249.797</v>
      </c>
      <c r="F6" s="43">
        <f>F4-F7</f>
        <v>3544.8940068750003</v>
      </c>
      <c r="G6" s="11">
        <f>G4-G7</f>
        <v>3839.0468668110007</v>
      </c>
      <c r="H6" s="11">
        <f>H4-H7</f>
        <v>4094.20882637676</v>
      </c>
      <c r="I6" s="11">
        <f>I4-I7</f>
        <v>4319.3903118274811</v>
      </c>
      <c r="J6" s="11">
        <f>J4-J7</f>
        <v>4513.7628758597184</v>
      </c>
    </row>
    <row r="7" spans="1:10" x14ac:dyDescent="0.25">
      <c r="A7" s="40" t="s">
        <v>6</v>
      </c>
      <c r="B7" s="83"/>
      <c r="C7" s="12">
        <f>C4-C6</f>
        <v>989.87899999999991</v>
      </c>
      <c r="D7" s="12">
        <f>D4-D6</f>
        <v>1127.2210000000005</v>
      </c>
      <c r="E7" s="12">
        <f>E4-E6</f>
        <v>1175.0980000000004</v>
      </c>
      <c r="F7" s="43">
        <f>F4*Assumptions!E$5</f>
        <v>1344.6149681250004</v>
      </c>
      <c r="G7" s="11">
        <f>G4*Assumptions!F$5</f>
        <v>1441.6228261890003</v>
      </c>
      <c r="H7" s="11">
        <f>H4*Assumptions!G$5</f>
        <v>1529.7043966682402</v>
      </c>
      <c r="I7" s="11">
        <f>I4*Assumptions!H$5</f>
        <v>1613.8381384849931</v>
      </c>
      <c r="J7" s="11">
        <f>J4*Assumptions!I$5</f>
        <v>1686.4608547168177</v>
      </c>
    </row>
    <row r="8" spans="1:10" x14ac:dyDescent="0.25">
      <c r="A8" s="39" t="s">
        <v>132</v>
      </c>
      <c r="B8" s="84"/>
      <c r="C8" s="21">
        <f t="shared" ref="C8:J8" si="1">C7/C4</f>
        <v>0.27094852334164704</v>
      </c>
      <c r="D8" s="21">
        <f t="shared" si="1"/>
        <v>0.27409649174212175</v>
      </c>
      <c r="E8" s="21">
        <f t="shared" si="1"/>
        <v>0.26556517160294207</v>
      </c>
      <c r="F8" s="44">
        <f t="shared" si="1"/>
        <v>0.27500000000000002</v>
      </c>
      <c r="G8" s="13">
        <f t="shared" si="1"/>
        <v>0.27300000000000002</v>
      </c>
      <c r="H8" s="13">
        <f t="shared" si="1"/>
        <v>0.27200000000000002</v>
      </c>
      <c r="I8" s="13">
        <f t="shared" si="1"/>
        <v>0.27200000000000002</v>
      </c>
      <c r="J8" s="13">
        <f t="shared" si="1"/>
        <v>0.27200000000000002</v>
      </c>
    </row>
    <row r="9" spans="1:10" x14ac:dyDescent="0.25">
      <c r="A9" s="40" t="s">
        <v>133</v>
      </c>
      <c r="B9" s="83"/>
      <c r="C9" s="12">
        <v>346.22800000000001</v>
      </c>
      <c r="D9" s="12">
        <v>343.55599999999998</v>
      </c>
      <c r="E9" s="12">
        <v>337.20600000000002</v>
      </c>
      <c r="F9" s="43">
        <f>F4*Assumptions!E$6</f>
        <v>400.93973595000006</v>
      </c>
      <c r="G9" s="11">
        <f>G4*Assumptions!F$6</f>
        <v>438.2955845190001</v>
      </c>
      <c r="H9" s="11">
        <f>H4*Assumptions!G$6</f>
        <v>472.40871073578006</v>
      </c>
      <c r="I9" s="11">
        <f>I4*Assumptions!H$6</f>
        <v>504.32441827656038</v>
      </c>
      <c r="J9" s="11">
        <f>J4*Assumptions!I$6</f>
        <v>527.01901709900562</v>
      </c>
    </row>
    <row r="10" spans="1:10" x14ac:dyDescent="0.25">
      <c r="A10" s="39" t="s">
        <v>134</v>
      </c>
      <c r="B10" s="84"/>
      <c r="C10" s="21">
        <f t="shared" ref="C10:J10" si="2">C9/C4</f>
        <v>9.4769123639891123E-2</v>
      </c>
      <c r="D10" s="21">
        <f t="shared" si="2"/>
        <v>8.3539513828216769E-2</v>
      </c>
      <c r="E10" s="21">
        <f t="shared" si="2"/>
        <v>7.6206554053824996E-2</v>
      </c>
      <c r="F10" s="44">
        <f t="shared" si="2"/>
        <v>8.2000000000000003E-2</v>
      </c>
      <c r="G10" s="13">
        <f t="shared" si="2"/>
        <v>8.3000000000000004E-2</v>
      </c>
      <c r="H10" s="13">
        <f t="shared" si="2"/>
        <v>8.4000000000000005E-2</v>
      </c>
      <c r="I10" s="13">
        <f t="shared" si="2"/>
        <v>8.5000000000000006E-2</v>
      </c>
      <c r="J10" s="13">
        <f t="shared" si="2"/>
        <v>8.500000000000002E-2</v>
      </c>
    </row>
    <row r="11" spans="1:10" x14ac:dyDescent="0.25">
      <c r="A11" s="39" t="s">
        <v>135</v>
      </c>
      <c r="B11" s="83"/>
      <c r="C11" s="12">
        <v>43.503999999999998</v>
      </c>
      <c r="D11" s="12">
        <v>54.283999999999999</v>
      </c>
      <c r="E11" s="12">
        <v>56.86</v>
      </c>
      <c r="F11" s="43">
        <f>F4*Assumptions!E$7</f>
        <v>63.563616675000006</v>
      </c>
      <c r="G11" s="11">
        <f>G4*Assumptions!F$7</f>
        <v>68.648706009000009</v>
      </c>
      <c r="H11" s="11">
        <f>H4*Assumptions!G$7</f>
        <v>73.110871899585007</v>
      </c>
      <c r="I11" s="11">
        <f>I4*Assumptions!H$7</f>
        <v>77.131969854062163</v>
      </c>
      <c r="J11" s="11">
        <f>J4*Assumptions!I$7</f>
        <v>80.602908497494965</v>
      </c>
    </row>
    <row r="12" spans="1:10" x14ac:dyDescent="0.25">
      <c r="A12" s="40" t="s">
        <v>136</v>
      </c>
      <c r="B12" s="83"/>
      <c r="C12" s="12">
        <f t="shared" ref="C12:J12" si="3">C9-C11</f>
        <v>302.72399999999999</v>
      </c>
      <c r="D12" s="12">
        <f t="shared" si="3"/>
        <v>289.27199999999999</v>
      </c>
      <c r="E12" s="12">
        <f t="shared" si="3"/>
        <v>280.346</v>
      </c>
      <c r="F12" s="43">
        <f t="shared" si="3"/>
        <v>337.37611927500006</v>
      </c>
      <c r="G12" s="11">
        <f t="shared" si="3"/>
        <v>369.64687851000008</v>
      </c>
      <c r="H12" s="11">
        <f t="shared" si="3"/>
        <v>399.29783883619507</v>
      </c>
      <c r="I12" s="11">
        <f t="shared" si="3"/>
        <v>427.19244842249822</v>
      </c>
      <c r="J12" s="11">
        <f t="shared" si="3"/>
        <v>446.41610860151064</v>
      </c>
    </row>
    <row r="13" spans="1:10" x14ac:dyDescent="0.25">
      <c r="A13" s="39" t="s">
        <v>137</v>
      </c>
      <c r="B13" s="83"/>
      <c r="C13" s="21">
        <f t="shared" ref="C13:J13" si="4">C12/C4</f>
        <v>8.2861259588370664E-2</v>
      </c>
      <c r="D13" s="21">
        <f t="shared" si="4"/>
        <v>7.0339747360302018E-2</v>
      </c>
      <c r="E13" s="21">
        <f t="shared" si="4"/>
        <v>6.3356531623914233E-2</v>
      </c>
      <c r="F13" s="44">
        <f t="shared" si="4"/>
        <v>6.9000000000000006E-2</v>
      </c>
      <c r="G13" s="13">
        <f t="shared" si="4"/>
        <v>7.0000000000000007E-2</v>
      </c>
      <c r="H13" s="13">
        <f t="shared" si="4"/>
        <v>7.1000000000000008E-2</v>
      </c>
      <c r="I13" s="13">
        <f t="shared" si="4"/>
        <v>7.2000000000000008E-2</v>
      </c>
      <c r="J13" s="13">
        <f t="shared" si="4"/>
        <v>7.2000000000000008E-2</v>
      </c>
    </row>
    <row r="14" spans="1:10" x14ac:dyDescent="0.25">
      <c r="A14" s="39" t="s">
        <v>138</v>
      </c>
      <c r="B14" s="83"/>
      <c r="C14" s="12">
        <v>25.469000000000001</v>
      </c>
      <c r="D14" s="12">
        <v>30.641999999999999</v>
      </c>
      <c r="E14" s="12">
        <v>32.771000000000001</v>
      </c>
      <c r="F14" s="43">
        <f>E30*Assumptions!E$16</f>
        <v>38.361660000000001</v>
      </c>
      <c r="G14" s="11">
        <f>F30*Assumptions!F$16</f>
        <v>34.460974932366618</v>
      </c>
      <c r="H14" s="11">
        <f>G30*Assumptions!G$16</f>
        <v>25.777893169458874</v>
      </c>
      <c r="I14" s="11">
        <f>H30*Assumptions!H$16</f>
        <v>13.845477164546011</v>
      </c>
      <c r="J14" s="11">
        <f>I30*Assumptions!I$16</f>
        <v>0.8693305640034964</v>
      </c>
    </row>
    <row r="15" spans="1:10" x14ac:dyDescent="0.25">
      <c r="A15" s="39" t="s">
        <v>139</v>
      </c>
      <c r="B15" s="83"/>
      <c r="C15" s="12">
        <f t="shared" ref="C15:J15" si="5">C12-C14</f>
        <v>277.255</v>
      </c>
      <c r="D15" s="12">
        <f t="shared" si="5"/>
        <v>258.63</v>
      </c>
      <c r="E15" s="12">
        <f t="shared" si="5"/>
        <v>247.57499999999999</v>
      </c>
      <c r="F15" s="43">
        <f t="shared" si="5"/>
        <v>299.01445927500004</v>
      </c>
      <c r="G15" s="11">
        <f t="shared" si="5"/>
        <v>335.18590357763344</v>
      </c>
      <c r="H15" s="11">
        <f t="shared" si="5"/>
        <v>373.51994566673619</v>
      </c>
      <c r="I15" s="11">
        <f t="shared" si="5"/>
        <v>413.34697125795219</v>
      </c>
      <c r="J15" s="11">
        <f t="shared" si="5"/>
        <v>445.54677803750712</v>
      </c>
    </row>
    <row r="16" spans="1:10" x14ac:dyDescent="0.25">
      <c r="A16" s="39" t="s">
        <v>7</v>
      </c>
      <c r="B16" s="83"/>
      <c r="C16" s="12">
        <f>C15-C17</f>
        <v>53.668999999999983</v>
      </c>
      <c r="D16" s="12">
        <f>D15-D17</f>
        <v>50.653999999999996</v>
      </c>
      <c r="E16" s="12">
        <f>E15-E17</f>
        <v>48.643000000000001</v>
      </c>
      <c r="F16" s="43">
        <f>F15*Assumptions!E$15</f>
        <v>58.606834017900006</v>
      </c>
      <c r="G16" s="11">
        <f>G15*Assumptions!F$15</f>
        <v>65.696437101216162</v>
      </c>
      <c r="H16" s="11">
        <f>H15*Assumptions!G$15</f>
        <v>73.209909350680292</v>
      </c>
      <c r="I16" s="11">
        <f>I15*Assumptions!H$15</f>
        <v>81.016006366558628</v>
      </c>
      <c r="J16" s="11">
        <f>J15*Assumptions!I$15</f>
        <v>87.327168495351401</v>
      </c>
    </row>
    <row r="17" spans="1:10" x14ac:dyDescent="0.25">
      <c r="A17" s="40" t="s">
        <v>8</v>
      </c>
      <c r="B17" s="83"/>
      <c r="C17" s="12">
        <v>223.58600000000001</v>
      </c>
      <c r="D17" s="12">
        <v>207.976</v>
      </c>
      <c r="E17" s="12">
        <v>198.93199999999999</v>
      </c>
      <c r="F17" s="43">
        <f>F15-F16</f>
        <v>240.40762525710002</v>
      </c>
      <c r="G17" s="11">
        <f>G15-G16</f>
        <v>269.48946647641731</v>
      </c>
      <c r="H17" s="11">
        <f>H15-H16</f>
        <v>300.31003631605591</v>
      </c>
      <c r="I17" s="11">
        <f>I15-I16</f>
        <v>332.33096489139359</v>
      </c>
      <c r="J17" s="11">
        <f>J15-J16</f>
        <v>358.21960954215569</v>
      </c>
    </row>
    <row r="18" spans="1:10" x14ac:dyDescent="0.25">
      <c r="A18" s="39" t="s">
        <v>140</v>
      </c>
      <c r="B18" s="84"/>
      <c r="C18" s="21">
        <f t="shared" ref="C18:J18" si="6">C17/C4</f>
        <v>6.1199698690310139E-2</v>
      </c>
      <c r="D18" s="21">
        <f t="shared" si="6"/>
        <v>5.0571708623738811E-2</v>
      </c>
      <c r="E18" s="21">
        <f t="shared" si="6"/>
        <v>4.4957450967763067E-2</v>
      </c>
      <c r="F18" s="44">
        <f t="shared" si="6"/>
        <v>4.9168050715583354E-2</v>
      </c>
      <c r="G18" s="13">
        <f t="shared" si="6"/>
        <v>5.1033198844769569E-2</v>
      </c>
      <c r="H18" s="13">
        <f t="shared" si="6"/>
        <v>5.3398767798457716E-2</v>
      </c>
      <c r="I18" s="13">
        <f t="shared" si="6"/>
        <v>5.6011826895674528E-2</v>
      </c>
      <c r="J18" s="13">
        <f t="shared" si="6"/>
        <v>5.7775271523765832E-2</v>
      </c>
    </row>
    <row r="19" spans="1:10" x14ac:dyDescent="0.25">
      <c r="A19" s="39" t="s">
        <v>141</v>
      </c>
      <c r="B19" s="85"/>
      <c r="C19" s="22">
        <f>C17/Assumptions!$B$22</f>
        <v>1.7117286786097077</v>
      </c>
      <c r="D19" s="22">
        <f>D17/Assumptions!$B$22</f>
        <v>1.5922217118358597</v>
      </c>
      <c r="E19" s="22">
        <f>E17/Assumptions!$B$22</f>
        <v>1.522982697902312</v>
      </c>
      <c r="F19" s="45">
        <f>F17/Assumptions!$B$22</f>
        <v>1.8405116004983924</v>
      </c>
      <c r="G19" s="23">
        <f>G17/Assumptions!$B$22</f>
        <v>2.0631562278090438</v>
      </c>
      <c r="H19" s="23">
        <f>H17/Assumptions!$B$22</f>
        <v>2.2991122057575861</v>
      </c>
      <c r="I19" s="23">
        <f>I17/Assumptions!$B$22</f>
        <v>2.5442578846378319</v>
      </c>
      <c r="J19" s="23">
        <f>J17/Assumptions!$B$22</f>
        <v>2.7424560522290284</v>
      </c>
    </row>
    <row r="20" spans="1:10" x14ac:dyDescent="0.25">
      <c r="A20" s="50" t="s">
        <v>1</v>
      </c>
      <c r="B20" s="86"/>
      <c r="C20" s="51"/>
      <c r="D20" s="51"/>
      <c r="E20" s="51"/>
      <c r="F20" s="52"/>
      <c r="G20" s="51"/>
      <c r="H20" s="51"/>
      <c r="I20" s="51"/>
      <c r="J20" s="51"/>
    </row>
    <row r="21" spans="1:10" x14ac:dyDescent="0.25">
      <c r="A21" s="39" t="s">
        <v>142</v>
      </c>
      <c r="B21" s="83">
        <v>34.930999999999997</v>
      </c>
      <c r="C21" s="12">
        <v>37.36</v>
      </c>
      <c r="D21" s="12">
        <v>38.584000000000003</v>
      </c>
      <c r="E21" s="12">
        <v>51.588000000000001</v>
      </c>
      <c r="F21" s="43">
        <f>F46</f>
        <v>97.79017950000005</v>
      </c>
      <c r="G21" s="43">
        <f t="shared" ref="G21:J21" si="7">G46</f>
        <v>105.61339386</v>
      </c>
      <c r="H21" s="43">
        <f t="shared" si="7"/>
        <v>112.47826446090005</v>
      </c>
      <c r="I21" s="43">
        <f t="shared" si="7"/>
        <v>118.66456900624954</v>
      </c>
      <c r="J21" s="43">
        <f t="shared" si="7"/>
        <v>329.48584548042868</v>
      </c>
    </row>
    <row r="22" spans="1:10" x14ac:dyDescent="0.25">
      <c r="A22" s="39" t="s">
        <v>9</v>
      </c>
      <c r="B22" s="83">
        <v>281.34300000000002</v>
      </c>
      <c r="C22" s="12">
        <v>357.03100000000001</v>
      </c>
      <c r="D22" s="12">
        <v>420.89</v>
      </c>
      <c r="E22" s="12">
        <v>497.09100000000001</v>
      </c>
      <c r="F22" s="43">
        <f>F4*Assumptions!E$10/365</f>
        <v>542.53455750000012</v>
      </c>
      <c r="G22" s="11">
        <f>G4*Assumptions!F$10/365</f>
        <v>578.70352800000001</v>
      </c>
      <c r="H22" s="11">
        <f>H4*Assumptions!G$10/365</f>
        <v>608.61526660350012</v>
      </c>
      <c r="I22" s="11">
        <f>I4*Assumptions!H$10/365</f>
        <v>633.96139606078498</v>
      </c>
      <c r="J22" s="11">
        <f>J4*Assumptions!I$10/365</f>
        <v>653.99620171834692</v>
      </c>
    </row>
    <row r="23" spans="1:10" x14ac:dyDescent="0.25">
      <c r="A23" s="39" t="s">
        <v>4</v>
      </c>
      <c r="B23" s="83">
        <v>955.73</v>
      </c>
      <c r="C23" s="12">
        <v>1006.367</v>
      </c>
      <c r="D23" s="12">
        <v>1120.1510000000001</v>
      </c>
      <c r="E23" s="12">
        <v>1195.105</v>
      </c>
      <c r="F23" s="43">
        <f>F6*Assumptions!E$11/365</f>
        <v>1281.9890655000002</v>
      </c>
      <c r="G23" s="11">
        <f>G6*Assumptions!F$11/365</f>
        <v>1367.3317607820002</v>
      </c>
      <c r="H23" s="11">
        <f>H6*Assumptions!G$11/365</f>
        <v>1435.777341852672</v>
      </c>
      <c r="I23" s="11">
        <f>I6*Assumptions!H$11/365</f>
        <v>1502.9111495947673</v>
      </c>
      <c r="J23" s="11">
        <f>J6*Assumptions!I$11/365</f>
        <v>1558.1756776940397</v>
      </c>
    </row>
    <row r="24" spans="1:10" x14ac:dyDescent="0.25">
      <c r="A24" s="39" t="s">
        <v>143</v>
      </c>
      <c r="B24" s="83">
        <v>13.587999999999999</v>
      </c>
      <c r="C24" s="12">
        <v>20.623000000000001</v>
      </c>
      <c r="D24" s="12">
        <v>23.821000000000002</v>
      </c>
      <c r="E24" s="12">
        <v>22.044</v>
      </c>
      <c r="F24" s="43">
        <f>F4*Assumptions!E$13</f>
        <v>24.447544875000006</v>
      </c>
      <c r="G24" s="11">
        <f>G4*Assumptions!F$13</f>
        <v>26.403348465000004</v>
      </c>
      <c r="H24" s="11">
        <f>H4*Assumptions!G$13</f>
        <v>28.119566115225002</v>
      </c>
      <c r="I24" s="11">
        <f>I4*Assumptions!H$13</f>
        <v>29.666142251562373</v>
      </c>
      <c r="J24" s="11">
        <f>J4*Assumptions!I$13</f>
        <v>31.001118652882678</v>
      </c>
    </row>
    <row r="25" spans="1:10" x14ac:dyDescent="0.25">
      <c r="A25" s="40" t="s">
        <v>10</v>
      </c>
      <c r="B25" s="83">
        <f>SUM(B21:B24)</f>
        <v>1285.5919999999999</v>
      </c>
      <c r="C25" s="12">
        <f>SUM(C21:C24)</f>
        <v>1421.3810000000001</v>
      </c>
      <c r="D25" s="12">
        <f>SUM(D21:D24)</f>
        <v>1603.4459999999999</v>
      </c>
      <c r="E25" s="12">
        <f>SUM(E21:E24)</f>
        <v>1765.8280000000002</v>
      </c>
      <c r="F25" s="43">
        <f>SUM(F21:F24)</f>
        <v>1946.7613473750002</v>
      </c>
      <c r="G25" s="43">
        <f t="shared" ref="G25:J25" si="8">SUM(G21:G24)</f>
        <v>2078.0520311069999</v>
      </c>
      <c r="H25" s="43">
        <f t="shared" si="8"/>
        <v>2184.9904390322972</v>
      </c>
      <c r="I25" s="43">
        <f t="shared" si="8"/>
        <v>2285.2032569133639</v>
      </c>
      <c r="J25" s="43">
        <f t="shared" si="8"/>
        <v>2572.6588435456979</v>
      </c>
    </row>
    <row r="26" spans="1:10" x14ac:dyDescent="0.25">
      <c r="A26" s="39" t="s">
        <v>144</v>
      </c>
      <c r="B26" s="83">
        <v>278.12299999999999</v>
      </c>
      <c r="C26" s="12">
        <v>366.904</v>
      </c>
      <c r="D26" s="12">
        <v>416.20100000000002</v>
      </c>
      <c r="E26" s="12">
        <v>558.12699999999995</v>
      </c>
      <c r="F26" s="43">
        <f>E26-F42-F11</f>
        <v>558.12699999999995</v>
      </c>
      <c r="G26" s="11">
        <f>F26-G42-G11</f>
        <v>552.84633030700002</v>
      </c>
      <c r="H26" s="11">
        <f>G26-H42-H11</f>
        <v>541.59850386091</v>
      </c>
      <c r="I26" s="11">
        <f>H26-I42-I11</f>
        <v>529.73204696028506</v>
      </c>
      <c r="J26" s="11">
        <f>I26-J42-J11</f>
        <v>517.33159949913204</v>
      </c>
    </row>
    <row r="27" spans="1:10" x14ac:dyDescent="0.25">
      <c r="A27" s="39" t="s">
        <v>145</v>
      </c>
      <c r="B27" s="83">
        <v>6.5670000000000002</v>
      </c>
      <c r="C27" s="12">
        <v>5.6379999999999999</v>
      </c>
      <c r="D27" s="12">
        <v>6.28</v>
      </c>
      <c r="E27" s="12">
        <v>6.6470000000000002</v>
      </c>
      <c r="F27" s="43">
        <f>E27</f>
        <v>6.6470000000000002</v>
      </c>
      <c r="G27" s="11">
        <f>F27</f>
        <v>6.6470000000000002</v>
      </c>
      <c r="H27" s="11">
        <f>G27</f>
        <v>6.6470000000000002</v>
      </c>
      <c r="I27" s="11">
        <f>H27</f>
        <v>6.6470000000000002</v>
      </c>
      <c r="J27" s="11">
        <f>I27</f>
        <v>6.6470000000000002</v>
      </c>
    </row>
    <row r="28" spans="1:10" x14ac:dyDescent="0.25">
      <c r="A28" s="40" t="s">
        <v>11</v>
      </c>
      <c r="B28" s="83">
        <f>SUM(B25:B27)</f>
        <v>1570.2819999999999</v>
      </c>
      <c r="C28" s="12">
        <f>SUM(C25:C27)</f>
        <v>1793.923</v>
      </c>
      <c r="D28" s="12">
        <f>SUM(D25:D27)</f>
        <v>2025.9269999999999</v>
      </c>
      <c r="E28" s="12">
        <f>SUM(E25:E27)</f>
        <v>2330.6019999999999</v>
      </c>
      <c r="F28" s="43">
        <f>SUM(F25:F27)</f>
        <v>2511.5353473750001</v>
      </c>
      <c r="G28" s="43">
        <f t="shared" ref="G28:J28" si="9">SUM(G25:G27)</f>
        <v>2637.5453614139997</v>
      </c>
      <c r="H28" s="43">
        <f t="shared" si="9"/>
        <v>2733.2359428932073</v>
      </c>
      <c r="I28" s="43">
        <f t="shared" si="9"/>
        <v>2821.5823038736489</v>
      </c>
      <c r="J28" s="43">
        <f t="shared" si="9"/>
        <v>3096.63744304483</v>
      </c>
    </row>
    <row r="29" spans="1:10" x14ac:dyDescent="0.25">
      <c r="A29" s="39" t="s">
        <v>12</v>
      </c>
      <c r="B29" s="83">
        <v>130.215</v>
      </c>
      <c r="C29" s="12">
        <v>154.107</v>
      </c>
      <c r="D29" s="12">
        <v>145.142</v>
      </c>
      <c r="E29" s="12">
        <v>145.053</v>
      </c>
      <c r="F29" s="43">
        <f>F6*Assumptions!E$12/365</f>
        <v>160.24863318750002</v>
      </c>
      <c r="G29" s="11">
        <f>G6*Assumptions!F$12/365</f>
        <v>176.70133523952003</v>
      </c>
      <c r="H29" s="11">
        <f>H6*Assumptions!G$12/365</f>
        <v>190.68917821480801</v>
      </c>
      <c r="I29" s="11">
        <f>I6*Assumptions!H$12/365</f>
        <v>203.54387222858267</v>
      </c>
      <c r="J29" s="11">
        <f>J6*Assumptions!I$12/365</f>
        <v>216.41328856861665</v>
      </c>
    </row>
    <row r="30" spans="1:10" x14ac:dyDescent="0.25">
      <c r="A30" s="39" t="s">
        <v>275</v>
      </c>
      <c r="B30" s="83">
        <v>500.93200000000002</v>
      </c>
      <c r="C30" s="12">
        <v>490</v>
      </c>
      <c r="D30" s="12">
        <v>526.61300000000006</v>
      </c>
      <c r="E30" s="12">
        <v>639.36099999999999</v>
      </c>
      <c r="F30" s="43">
        <f>E30+F44</f>
        <v>574.34958220611031</v>
      </c>
      <c r="G30" s="43">
        <f t="shared" ref="G30:J30" si="10">F30+G44</f>
        <v>429.63155282431461</v>
      </c>
      <c r="H30" s="43">
        <f t="shared" si="10"/>
        <v>230.75795274243353</v>
      </c>
      <c r="I30" s="43">
        <f t="shared" si="10"/>
        <v>14.488842733391607</v>
      </c>
      <c r="J30" s="43">
        <f t="shared" si="10"/>
        <v>0</v>
      </c>
    </row>
    <row r="31" spans="1:10" x14ac:dyDescent="0.25">
      <c r="A31" s="39" t="s">
        <v>146</v>
      </c>
      <c r="B31" s="83">
        <v>96.311000000000007</v>
      </c>
      <c r="C31" s="12">
        <v>103.624</v>
      </c>
      <c r="D31" s="12">
        <v>119.879</v>
      </c>
      <c r="E31" s="12">
        <v>132.303</v>
      </c>
      <c r="F31" s="43">
        <f>F4*Assumptions!E$14</f>
        <v>146.68526925</v>
      </c>
      <c r="G31" s="11">
        <f>G4*Assumptions!F$14</f>
        <v>158.42009079000002</v>
      </c>
      <c r="H31" s="11">
        <f>H4*Assumptions!G$14</f>
        <v>168.71739669135002</v>
      </c>
      <c r="I31" s="11">
        <f>I4*Assumptions!H$14</f>
        <v>177.99685350937423</v>
      </c>
      <c r="J31" s="11">
        <f>J4*Assumptions!I$14</f>
        <v>186.00671191729606</v>
      </c>
    </row>
    <row r="32" spans="1:10" x14ac:dyDescent="0.25">
      <c r="A32" s="40" t="s">
        <v>13</v>
      </c>
      <c r="B32" s="83">
        <f>SUM(B29:B31)</f>
        <v>727.45800000000008</v>
      </c>
      <c r="C32" s="12">
        <f>SUM(C29:C31)</f>
        <v>747.73099999999999</v>
      </c>
      <c r="D32" s="12">
        <f>SUM(D29:D31)</f>
        <v>791.63400000000013</v>
      </c>
      <c r="E32" s="12">
        <f>SUM(E29:E31)</f>
        <v>916.71699999999998</v>
      </c>
      <c r="F32" s="43">
        <f>SUM(F29:F31)</f>
        <v>881.28348464361034</v>
      </c>
      <c r="G32" s="43">
        <f t="shared" ref="G32:J32" si="11">SUM(G29:G31)</f>
        <v>764.75297885383463</v>
      </c>
      <c r="H32" s="43">
        <f t="shared" si="11"/>
        <v>590.1645276485915</v>
      </c>
      <c r="I32" s="43">
        <f t="shared" si="11"/>
        <v>396.02956847134851</v>
      </c>
      <c r="J32" s="43">
        <f t="shared" si="11"/>
        <v>402.42000048591274</v>
      </c>
    </row>
    <row r="33" spans="1:10" x14ac:dyDescent="0.25">
      <c r="A33" s="40" t="s">
        <v>147</v>
      </c>
      <c r="B33" s="83">
        <v>842.82399999999996</v>
      </c>
      <c r="C33" s="12">
        <v>1046.192</v>
      </c>
      <c r="D33" s="12">
        <v>1234.2929999999999</v>
      </c>
      <c r="E33" s="12">
        <v>1413.885</v>
      </c>
      <c r="F33" s="43">
        <f>E33+F37+F43</f>
        <v>1630.25186273139</v>
      </c>
      <c r="G33" s="43">
        <f t="shared" ref="G33:J33" si="12">F33+G37+G43</f>
        <v>1872.7923825601654</v>
      </c>
      <c r="H33" s="43">
        <f t="shared" si="12"/>
        <v>2143.0714152446158</v>
      </c>
      <c r="I33" s="43">
        <f t="shared" si="12"/>
        <v>2425.5527354023006</v>
      </c>
      <c r="J33" s="43">
        <f t="shared" si="12"/>
        <v>2694.2174425589178</v>
      </c>
    </row>
    <row r="34" spans="1:10" x14ac:dyDescent="0.25">
      <c r="A34" s="40" t="s">
        <v>14</v>
      </c>
      <c r="B34" s="83">
        <f>B32+B33</f>
        <v>1570.2820000000002</v>
      </c>
      <c r="C34" s="12">
        <f>C32+C33</f>
        <v>1793.923</v>
      </c>
      <c r="D34" s="12">
        <f>D32+D33</f>
        <v>2025.9270000000001</v>
      </c>
      <c r="E34" s="12">
        <f>E32+E33</f>
        <v>2330.6019999999999</v>
      </c>
      <c r="F34" s="43">
        <f>F32+F33</f>
        <v>2511.5353473750001</v>
      </c>
      <c r="G34" s="43">
        <f t="shared" ref="G34:J34" si="13">G32+G33</f>
        <v>2637.5453614140001</v>
      </c>
      <c r="H34" s="43">
        <f t="shared" si="13"/>
        <v>2733.2359428932073</v>
      </c>
      <c r="I34" s="43">
        <f t="shared" si="13"/>
        <v>2821.5823038736489</v>
      </c>
      <c r="J34" s="43">
        <f t="shared" si="13"/>
        <v>3096.6374430448304</v>
      </c>
    </row>
    <row r="35" spans="1:10" x14ac:dyDescent="0.25">
      <c r="A35" s="39" t="s">
        <v>248</v>
      </c>
      <c r="B35" s="83">
        <f>B28-B34</f>
        <v>0</v>
      </c>
      <c r="C35" s="12">
        <f>C28-C34</f>
        <v>0</v>
      </c>
      <c r="D35" s="12">
        <f t="shared" ref="D35:J35" si="14">D28-D34</f>
        <v>0</v>
      </c>
      <c r="E35" s="12">
        <f t="shared" si="14"/>
        <v>0</v>
      </c>
      <c r="F35" s="46">
        <f t="shared" si="14"/>
        <v>0</v>
      </c>
      <c r="G35" s="12">
        <f t="shared" si="14"/>
        <v>0</v>
      </c>
      <c r="H35" s="12">
        <f t="shared" si="14"/>
        <v>0</v>
      </c>
      <c r="I35" s="12">
        <f t="shared" si="14"/>
        <v>0</v>
      </c>
      <c r="J35" s="12">
        <f t="shared" si="14"/>
        <v>0</v>
      </c>
    </row>
    <row r="36" spans="1:10" x14ac:dyDescent="0.25">
      <c r="A36" s="50" t="s">
        <v>2</v>
      </c>
      <c r="B36" s="86"/>
      <c r="C36" s="51"/>
      <c r="D36" s="51"/>
      <c r="E36" s="51"/>
      <c r="F36" s="52"/>
      <c r="G36" s="51"/>
      <c r="H36" s="51"/>
      <c r="I36" s="51"/>
      <c r="J36" s="51"/>
    </row>
    <row r="37" spans="1:10" x14ac:dyDescent="0.25">
      <c r="A37" s="39" t="s">
        <v>8</v>
      </c>
      <c r="B37" s="83"/>
      <c r="C37" s="12">
        <f t="shared" ref="C37:J37" si="15">C17</f>
        <v>223.58600000000001</v>
      </c>
      <c r="D37" s="12">
        <f t="shared" si="15"/>
        <v>207.976</v>
      </c>
      <c r="E37" s="12">
        <f t="shared" si="15"/>
        <v>198.93199999999999</v>
      </c>
      <c r="F37" s="43">
        <f t="shared" si="15"/>
        <v>240.40762525710002</v>
      </c>
      <c r="G37" s="11">
        <f t="shared" si="15"/>
        <v>269.48946647641731</v>
      </c>
      <c r="H37" s="11">
        <f t="shared" si="15"/>
        <v>300.31003631605591</v>
      </c>
      <c r="I37" s="11">
        <f t="shared" si="15"/>
        <v>332.33096489139359</v>
      </c>
      <c r="J37" s="11">
        <f t="shared" si="15"/>
        <v>358.21960954215569</v>
      </c>
    </row>
    <row r="38" spans="1:10" x14ac:dyDescent="0.25">
      <c r="A38" s="39" t="s">
        <v>148</v>
      </c>
      <c r="B38" s="83"/>
      <c r="C38" s="12">
        <f t="shared" ref="C38:J38" si="16">C11</f>
        <v>43.503999999999998</v>
      </c>
      <c r="D38" s="12">
        <f t="shared" si="16"/>
        <v>54.283999999999999</v>
      </c>
      <c r="E38" s="12">
        <f t="shared" si="16"/>
        <v>56.86</v>
      </c>
      <c r="F38" s="43">
        <f t="shared" si="16"/>
        <v>63.563616675000006</v>
      </c>
      <c r="G38" s="11">
        <f t="shared" si="16"/>
        <v>68.648706009000009</v>
      </c>
      <c r="H38" s="11">
        <f t="shared" si="16"/>
        <v>73.110871899585007</v>
      </c>
      <c r="I38" s="11">
        <f t="shared" si="16"/>
        <v>77.131969854062163</v>
      </c>
      <c r="J38" s="11">
        <f t="shared" si="16"/>
        <v>80.602908497494965</v>
      </c>
    </row>
    <row r="39" spans="1:10" x14ac:dyDescent="0.25">
      <c r="A39" s="39" t="s">
        <v>149</v>
      </c>
      <c r="B39" s="83">
        <f t="shared" ref="B39:J39" si="17">B22+B23+B24-B29-B31</f>
        <v>1024.1350000000002</v>
      </c>
      <c r="C39" s="12">
        <f t="shared" si="17"/>
        <v>1126.29</v>
      </c>
      <c r="D39" s="12">
        <f t="shared" si="17"/>
        <v>1299.8410000000001</v>
      </c>
      <c r="E39" s="12">
        <f t="shared" si="17"/>
        <v>1436.884</v>
      </c>
      <c r="F39" s="43">
        <f t="shared" si="17"/>
        <v>1542.0372654375003</v>
      </c>
      <c r="G39" s="11">
        <f t="shared" si="17"/>
        <v>1637.3172112174802</v>
      </c>
      <c r="H39" s="11">
        <f t="shared" si="17"/>
        <v>1713.1055996652394</v>
      </c>
      <c r="I39" s="11">
        <f t="shared" si="17"/>
        <v>1784.9979621691575</v>
      </c>
      <c r="J39" s="11">
        <f t="shared" si="17"/>
        <v>1840.7529975793566</v>
      </c>
    </row>
    <row r="40" spans="1:10" x14ac:dyDescent="0.25">
      <c r="A40" s="39" t="s">
        <v>150</v>
      </c>
      <c r="B40" s="83"/>
      <c r="C40" s="12">
        <f t="shared" ref="C40:J40" si="18">C39-B39</f>
        <v>102.15499999999975</v>
      </c>
      <c r="D40" s="12">
        <f t="shared" si="18"/>
        <v>173.55100000000016</v>
      </c>
      <c r="E40" s="12">
        <f t="shared" si="18"/>
        <v>137.04299999999989</v>
      </c>
      <c r="F40" s="43">
        <f t="shared" si="18"/>
        <v>105.15326543750029</v>
      </c>
      <c r="G40" s="11">
        <f t="shared" si="18"/>
        <v>95.279945779979926</v>
      </c>
      <c r="H40" s="11">
        <f t="shared" si="18"/>
        <v>75.788388447759189</v>
      </c>
      <c r="I40" s="11">
        <f t="shared" si="18"/>
        <v>71.892362503918093</v>
      </c>
      <c r="J40" s="11">
        <f t="shared" si="18"/>
        <v>55.755035410199071</v>
      </c>
    </row>
    <row r="41" spans="1:10" x14ac:dyDescent="0.25">
      <c r="A41" s="40" t="s">
        <v>151</v>
      </c>
      <c r="B41" s="83"/>
      <c r="C41" s="12">
        <v>180.08500000000001</v>
      </c>
      <c r="D41" s="12">
        <v>124.15300000000001</v>
      </c>
      <c r="E41" s="12">
        <v>151.96700000000001</v>
      </c>
      <c r="F41" s="43">
        <f>F37+F38-F40</f>
        <v>198.81797649459975</v>
      </c>
      <c r="G41" s="11">
        <f>G37+G38-G40</f>
        <v>242.8582267054374</v>
      </c>
      <c r="H41" s="11">
        <f>H37+H38-H40</f>
        <v>297.63251976788172</v>
      </c>
      <c r="I41" s="11">
        <f>I37+I38-I40</f>
        <v>337.57057224153766</v>
      </c>
      <c r="J41" s="11">
        <f>J37+J38-J40</f>
        <v>383.0674826294516</v>
      </c>
    </row>
    <row r="42" spans="1:10" x14ac:dyDescent="0.25">
      <c r="A42" s="39" t="s">
        <v>18</v>
      </c>
      <c r="B42" s="83"/>
      <c r="C42" s="12">
        <v>-37.978999999999999</v>
      </c>
      <c r="D42" s="12">
        <v>-45.758000000000003</v>
      </c>
      <c r="E42" s="12">
        <v>-37.527000000000001</v>
      </c>
      <c r="F42" s="43">
        <f>-F4*Assumptions!E$8</f>
        <v>-63.563616675000006</v>
      </c>
      <c r="G42" s="11">
        <f>-G4*Assumptions!F$8</f>
        <v>-63.368036316000008</v>
      </c>
      <c r="H42" s="11">
        <f>-H4*Assumptions!G$8</f>
        <v>-61.863045453495005</v>
      </c>
      <c r="I42" s="11">
        <f>-I4*Assumptions!H$8</f>
        <v>-65.265512953437224</v>
      </c>
      <c r="J42" s="11">
        <f>-J4*Assumptions!I$8</f>
        <v>-68.202461036341887</v>
      </c>
    </row>
    <row r="43" spans="1:10" x14ac:dyDescent="0.25">
      <c r="A43" s="39" t="s">
        <v>15</v>
      </c>
      <c r="B43" s="83"/>
      <c r="C43" s="12">
        <v>-19.593</v>
      </c>
      <c r="D43" s="12">
        <v>-19.593</v>
      </c>
      <c r="E43" s="12">
        <v>-19.593</v>
      </c>
      <c r="F43" s="43">
        <f>-F17*Assumptions!E$17</f>
        <v>-24.040762525710004</v>
      </c>
      <c r="G43" s="11">
        <f>-G17*Assumptions!F$17</f>
        <v>-26.948946647641733</v>
      </c>
      <c r="H43" s="11">
        <f>-H17*Assumptions!G$17</f>
        <v>-30.031003631605593</v>
      </c>
      <c r="I43" s="11">
        <f>-I17*Assumptions!H$17</f>
        <v>-49.849644733709034</v>
      </c>
      <c r="J43" s="11">
        <f>-J17*Assumptions!I$17</f>
        <v>-89.554902385538924</v>
      </c>
    </row>
    <row r="44" spans="1:10" x14ac:dyDescent="0.25">
      <c r="A44" s="39" t="s">
        <v>276</v>
      </c>
      <c r="B44" s="83"/>
      <c r="C44" s="12">
        <f>C30-B30</f>
        <v>-10.932000000000016</v>
      </c>
      <c r="D44" s="12">
        <f>D30-C30</f>
        <v>36.613000000000056</v>
      </c>
      <c r="E44" s="12">
        <f>E30-D30</f>
        <v>112.74799999999993</v>
      </c>
      <c r="F44" s="43">
        <f>MAX(F4*Assumptions!E$18-(E21+F41+F42+F43),-E30)</f>
        <v>-65.011417793889706</v>
      </c>
      <c r="G44" s="43">
        <f>MAX(G4*Assumptions!F$18-(F21+G41+G42+G43),-F30)</f>
        <v>-144.7180293817957</v>
      </c>
      <c r="H44" s="43">
        <f>MAX(H4*Assumptions!G$18-(G21+H41+H42+H43),-G30)</f>
        <v>-198.87360008188108</v>
      </c>
      <c r="I44" s="43">
        <f>MAX(I4*Assumptions!H$18-(H21+I41+I42+I43),-H30)</f>
        <v>-216.26911000904192</v>
      </c>
      <c r="J44" s="43">
        <f>MAX(J4*Assumptions!I$18-(I21+J41+J42+J43),-I30)</f>
        <v>-14.488842733391607</v>
      </c>
    </row>
    <row r="45" spans="1:10" x14ac:dyDescent="0.25">
      <c r="A45" s="40" t="s">
        <v>152</v>
      </c>
      <c r="B45" s="83"/>
      <c r="C45" s="12">
        <v>2.4289999999999998</v>
      </c>
      <c r="D45" s="12">
        <v>1.224</v>
      </c>
      <c r="E45" s="12">
        <v>13.004</v>
      </c>
      <c r="F45" s="43">
        <f>SUM(F41:F44)</f>
        <v>46.202179500000042</v>
      </c>
      <c r="G45" s="43">
        <f t="shared" ref="G45:J45" si="19">SUM(G41:G44)</f>
        <v>7.8232143599999517</v>
      </c>
      <c r="H45" s="43">
        <f t="shared" si="19"/>
        <v>6.8648706009000477</v>
      </c>
      <c r="I45" s="43">
        <f t="shared" si="19"/>
        <v>6.1863045453494863</v>
      </c>
      <c r="J45" s="43">
        <f t="shared" si="19"/>
        <v>210.82127647417917</v>
      </c>
    </row>
    <row r="46" spans="1:10" x14ac:dyDescent="0.25">
      <c r="A46" s="40" t="s">
        <v>153</v>
      </c>
      <c r="B46" s="83">
        <f>B21</f>
        <v>34.930999999999997</v>
      </c>
      <c r="C46" s="12">
        <v>37.36</v>
      </c>
      <c r="D46" s="12">
        <v>38.584000000000003</v>
      </c>
      <c r="E46" s="12">
        <v>51.588000000000001</v>
      </c>
      <c r="F46" s="43">
        <f>E21+F45</f>
        <v>97.79017950000005</v>
      </c>
      <c r="G46" s="43">
        <f t="shared" ref="G46:J46" si="20">F21+G45</f>
        <v>105.61339386</v>
      </c>
      <c r="H46" s="43">
        <f t="shared" si="20"/>
        <v>112.47826446090005</v>
      </c>
      <c r="I46" s="43">
        <f t="shared" si="20"/>
        <v>118.66456900624954</v>
      </c>
      <c r="J46" s="43">
        <f t="shared" si="20"/>
        <v>329.48584548042868</v>
      </c>
    </row>
    <row r="47" spans="1:10" x14ac:dyDescent="0.25">
      <c r="A47" s="39" t="s">
        <v>247</v>
      </c>
      <c r="B47" s="87"/>
      <c r="C47" s="11">
        <f>C45-(C21-B21)</f>
        <v>0</v>
      </c>
      <c r="D47" s="11">
        <f>ROUND(C45-(C21-B21),6)</f>
        <v>0</v>
      </c>
      <c r="E47" s="11">
        <f t="shared" ref="E47:J47" si="21">E45-(E21-D21)</f>
        <v>0</v>
      </c>
      <c r="F47" s="11">
        <f t="shared" si="21"/>
        <v>0</v>
      </c>
      <c r="G47" s="11">
        <f t="shared" si="21"/>
        <v>0</v>
      </c>
      <c r="H47" s="11">
        <f t="shared" si="21"/>
        <v>0</v>
      </c>
      <c r="I47" s="11">
        <f t="shared" si="21"/>
        <v>0</v>
      </c>
      <c r="J47" s="11">
        <f t="shared" si="21"/>
        <v>0</v>
      </c>
    </row>
    <row r="134" spans="1:27" s="1" customFormat="1" x14ac:dyDescent="0.25">
      <c r="A134" s="39"/>
      <c r="B134" s="38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</sheetData>
  <pageMargins left="0.7" right="0.7" top="0.75" bottom="0.75" header="0.3" footer="0.3"/>
  <pageSetup paperSize="9" orientation="portrait" horizontalDpi="0" verticalDpi="0"/>
  <ignoredErrors>
    <ignoredError sqref="D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1B39-FA35-4FFA-AB14-8F12074068A8}">
  <dimension ref="A1:Z33"/>
  <sheetViews>
    <sheetView showGridLines="0" zoomScale="85" zoomScaleNormal="85" workbookViewId="0">
      <selection activeCell="D24" sqref="D24"/>
    </sheetView>
  </sheetViews>
  <sheetFormatPr defaultColWidth="8.875" defaultRowHeight="15.75" x14ac:dyDescent="0.25"/>
  <cols>
    <col min="1" max="1" width="36" style="3" bestFit="1" customWidth="1"/>
    <col min="2" max="2" width="65.625" style="4" bestFit="1" customWidth="1"/>
    <col min="3" max="3" width="15.5" style="4" bestFit="1" customWidth="1"/>
    <col min="4" max="4" width="35.625" style="4" customWidth="1"/>
    <col min="5" max="5" width="21.625" style="4" customWidth="1"/>
    <col min="6" max="6" width="60" style="4" customWidth="1"/>
    <col min="7" max="8" width="21.625" style="4" customWidth="1"/>
    <col min="9" max="26" width="14.125" style="4" customWidth="1"/>
  </cols>
  <sheetData>
    <row r="1" spans="1:9" x14ac:dyDescent="0.25">
      <c r="A1" s="55" t="s">
        <v>19</v>
      </c>
      <c r="B1" s="56"/>
      <c r="C1" s="57"/>
      <c r="D1" s="57"/>
      <c r="E1" s="57"/>
      <c r="F1" s="57"/>
      <c r="G1" s="57"/>
      <c r="H1" s="57"/>
      <c r="I1" s="59"/>
    </row>
    <row r="2" spans="1:9" x14ac:dyDescent="0.25">
      <c r="A2" s="77" t="s">
        <v>20</v>
      </c>
      <c r="B2" s="78"/>
      <c r="C2" s="60"/>
      <c r="D2" s="60"/>
      <c r="E2" s="60"/>
      <c r="F2" s="60"/>
      <c r="G2" s="60"/>
      <c r="H2" s="60"/>
      <c r="I2" s="59"/>
    </row>
    <row r="3" spans="1:9" x14ac:dyDescent="0.25">
      <c r="A3" s="77" t="s">
        <v>21</v>
      </c>
      <c r="B3" s="78" t="s">
        <v>22</v>
      </c>
    </row>
    <row r="4" spans="1:9" x14ac:dyDescent="0.25">
      <c r="A4" s="3" t="s">
        <v>23</v>
      </c>
      <c r="B4" s="4" t="s">
        <v>24</v>
      </c>
    </row>
    <row r="5" spans="1:9" x14ac:dyDescent="0.25">
      <c r="A5" s="3" t="s">
        <v>25</v>
      </c>
      <c r="B5" s="4" t="s">
        <v>26</v>
      </c>
    </row>
    <row r="6" spans="1:9" x14ac:dyDescent="0.25">
      <c r="A6" s="3" t="s">
        <v>27</v>
      </c>
      <c r="B6" s="4" t="s">
        <v>28</v>
      </c>
    </row>
    <row r="7" spans="1:9" x14ac:dyDescent="0.25">
      <c r="A7" s="3" t="s">
        <v>29</v>
      </c>
      <c r="B7" s="37">
        <v>46219</v>
      </c>
      <c r="D7" s="59"/>
      <c r="E7" s="59"/>
      <c r="F7" s="59"/>
      <c r="G7" s="59"/>
      <c r="H7" s="59"/>
    </row>
    <row r="8" spans="1:9" x14ac:dyDescent="0.25">
      <c r="A8" s="55" t="s">
        <v>30</v>
      </c>
      <c r="B8" s="56"/>
      <c r="D8" s="57"/>
      <c r="E8" s="57"/>
      <c r="F8" s="57"/>
      <c r="G8" s="57"/>
      <c r="H8" s="57"/>
    </row>
    <row r="9" spans="1:9" x14ac:dyDescent="0.25">
      <c r="A9" s="3" t="s">
        <v>31</v>
      </c>
      <c r="B9" s="5">
        <f>Assumptions!B21</f>
        <v>24.9</v>
      </c>
      <c r="D9" s="53"/>
      <c r="E9" s="53"/>
      <c r="F9" s="53"/>
      <c r="G9" s="53"/>
      <c r="H9" s="53"/>
    </row>
    <row r="10" spans="1:9" x14ac:dyDescent="0.25">
      <c r="A10" s="3" t="s">
        <v>32</v>
      </c>
      <c r="B10" s="5">
        <f>DCF!B24</f>
        <v>27.368409378390218</v>
      </c>
      <c r="D10" s="9"/>
      <c r="E10" s="54"/>
      <c r="F10" s="9"/>
      <c r="G10" s="9"/>
      <c r="H10" s="9"/>
    </row>
    <row r="11" spans="1:9" x14ac:dyDescent="0.25">
      <c r="A11" s="3" t="s">
        <v>33</v>
      </c>
      <c r="B11" s="5">
        <f>Comps!B27</f>
        <v>22.39518790269333</v>
      </c>
      <c r="D11" s="9"/>
      <c r="E11" s="54"/>
      <c r="F11" s="9"/>
      <c r="G11" s="9"/>
      <c r="H11" s="9"/>
    </row>
    <row r="12" spans="1:9" x14ac:dyDescent="0.25">
      <c r="A12" s="3" t="s">
        <v>34</v>
      </c>
      <c r="B12" s="6">
        <f>B10/B9-1</f>
        <v>9.9132906762659401E-2</v>
      </c>
      <c r="D12" s="58"/>
      <c r="E12" s="54"/>
      <c r="F12" s="9"/>
      <c r="G12" s="9"/>
      <c r="H12" s="9"/>
    </row>
    <row r="13" spans="1:9" x14ac:dyDescent="0.25">
      <c r="A13" s="3" t="s">
        <v>35</v>
      </c>
      <c r="B13" s="7" t="str">
        <f>IF(B12&gt;15%,"Positive / further diligence",IF(B12&lt;-10%,"Cautious / downside risk","Neutral / watchlist"))</f>
        <v>Neutral / watchlist</v>
      </c>
      <c r="D13" s="9"/>
      <c r="E13" s="54"/>
      <c r="F13" s="9"/>
      <c r="G13" s="9"/>
      <c r="H13" s="9"/>
    </row>
    <row r="14" spans="1:9" x14ac:dyDescent="0.25">
      <c r="A14" s="61" t="s">
        <v>250</v>
      </c>
      <c r="B14" s="4" t="s">
        <v>36</v>
      </c>
      <c r="D14" s="58"/>
      <c r="E14" s="54"/>
      <c r="F14" s="9"/>
      <c r="G14" s="9"/>
      <c r="H14" s="9"/>
    </row>
    <row r="15" spans="1:9" x14ac:dyDescent="0.25">
      <c r="A15" s="3" t="s">
        <v>37</v>
      </c>
      <c r="B15" s="4" t="s">
        <v>38</v>
      </c>
      <c r="D15" s="9"/>
      <c r="E15" s="54"/>
      <c r="F15" s="9"/>
      <c r="G15" s="9"/>
      <c r="H15" s="9"/>
    </row>
    <row r="16" spans="1:9" x14ac:dyDescent="0.25">
      <c r="A16" s="55" t="s">
        <v>39</v>
      </c>
      <c r="B16" s="56"/>
    </row>
    <row r="17" spans="1:5" x14ac:dyDescent="0.25">
      <c r="A17" s="3">
        <v>1</v>
      </c>
      <c r="B17" s="4" t="s">
        <v>40</v>
      </c>
    </row>
    <row r="18" spans="1:5" x14ac:dyDescent="0.25">
      <c r="A18" s="3">
        <v>2</v>
      </c>
      <c r="B18" s="4" t="s">
        <v>41</v>
      </c>
    </row>
    <row r="19" spans="1:5" x14ac:dyDescent="0.25">
      <c r="A19" s="3">
        <v>3</v>
      </c>
      <c r="B19" s="4" t="s">
        <v>42</v>
      </c>
    </row>
    <row r="20" spans="1:5" x14ac:dyDescent="0.25">
      <c r="A20" s="3">
        <v>4</v>
      </c>
      <c r="B20" s="4" t="s">
        <v>43</v>
      </c>
    </row>
    <row r="21" spans="1:5" x14ac:dyDescent="0.25">
      <c r="A21" s="3">
        <v>5</v>
      </c>
      <c r="B21" s="4" t="s">
        <v>44</v>
      </c>
    </row>
    <row r="22" spans="1:5" x14ac:dyDescent="0.25">
      <c r="A22" s="62" t="s">
        <v>251</v>
      </c>
      <c r="B22" s="56"/>
    </row>
    <row r="23" spans="1:5" x14ac:dyDescent="0.25">
      <c r="A23" s="4" t="s">
        <v>45</v>
      </c>
      <c r="B23" s="64" t="s">
        <v>253</v>
      </c>
      <c r="E23" s="64"/>
    </row>
    <row r="24" spans="1:5" x14ac:dyDescent="0.25">
      <c r="A24" s="63" t="s">
        <v>252</v>
      </c>
      <c r="B24" s="64" t="s">
        <v>254</v>
      </c>
      <c r="E24" s="64"/>
    </row>
    <row r="25" spans="1:5" x14ac:dyDescent="0.25">
      <c r="A25" s="4" t="s">
        <v>46</v>
      </c>
      <c r="B25" s="4" t="s">
        <v>47</v>
      </c>
      <c r="C25" s="57"/>
      <c r="D25" s="57"/>
      <c r="E25" s="57"/>
    </row>
    <row r="26" spans="1:5" x14ac:dyDescent="0.25">
      <c r="A26" s="4" t="s">
        <v>48</v>
      </c>
      <c r="B26" s="4" t="s">
        <v>49</v>
      </c>
      <c r="E26" s="64"/>
    </row>
    <row r="27" spans="1:5" x14ac:dyDescent="0.25">
      <c r="A27" s="64" t="s">
        <v>256</v>
      </c>
      <c r="B27" s="64" t="s">
        <v>257</v>
      </c>
      <c r="E27" s="64"/>
    </row>
    <row r="28" spans="1:5" x14ac:dyDescent="0.25">
      <c r="A28" s="4" t="s">
        <v>50</v>
      </c>
      <c r="B28" s="64" t="s">
        <v>255</v>
      </c>
      <c r="E28" s="64"/>
    </row>
    <row r="33" spans="1:1" x14ac:dyDescent="0.25">
      <c r="A33" s="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8B3E-6479-41AC-8C14-C938997268CE}">
  <dimension ref="A1:U14"/>
  <sheetViews>
    <sheetView showGridLines="0" zoomScale="85" zoomScaleNormal="85" workbookViewId="0">
      <selection activeCell="H11" sqref="H11"/>
    </sheetView>
  </sheetViews>
  <sheetFormatPr defaultColWidth="8.875" defaultRowHeight="15.75" x14ac:dyDescent="0.25"/>
  <cols>
    <col min="1" max="1" width="31.625" style="8" customWidth="1"/>
    <col min="2" max="2" width="14.125" style="9" customWidth="1"/>
    <col min="3" max="3" width="43.375" style="9" customWidth="1"/>
    <col min="4" max="4" width="14.125" style="9" customWidth="1"/>
    <col min="5" max="21" width="14.125" style="4" customWidth="1"/>
  </cols>
  <sheetData>
    <row r="1" spans="1:4" x14ac:dyDescent="0.25">
      <c r="A1" s="71" t="s">
        <v>51</v>
      </c>
      <c r="B1" s="72"/>
      <c r="C1" s="72"/>
      <c r="D1" s="72"/>
    </row>
    <row r="3" spans="1:4" x14ac:dyDescent="0.25">
      <c r="A3" s="79" t="s">
        <v>52</v>
      </c>
      <c r="B3" s="80" t="s">
        <v>54</v>
      </c>
      <c r="C3" s="80" t="s">
        <v>55</v>
      </c>
      <c r="D3" s="80" t="s">
        <v>57</v>
      </c>
    </row>
    <row r="4" spans="1:4" ht="31.5" x14ac:dyDescent="0.25">
      <c r="A4" s="8" t="s">
        <v>58</v>
      </c>
      <c r="B4" s="9" t="s">
        <v>59</v>
      </c>
      <c r="C4" s="89" t="s">
        <v>60</v>
      </c>
      <c r="D4" s="35">
        <v>46207</v>
      </c>
    </row>
    <row r="5" spans="1:4" ht="31.5" x14ac:dyDescent="0.25">
      <c r="A5" s="8" t="s">
        <v>61</v>
      </c>
      <c r="B5" s="9" t="s">
        <v>62</v>
      </c>
      <c r="C5" s="89" t="s">
        <v>63</v>
      </c>
      <c r="D5" s="35">
        <v>46207</v>
      </c>
    </row>
    <row r="6" spans="1:4" ht="31.5" x14ac:dyDescent="0.25">
      <c r="A6" s="8" t="s">
        <v>64</v>
      </c>
      <c r="B6" s="9" t="s">
        <v>65</v>
      </c>
      <c r="C6" s="89" t="s">
        <v>66</v>
      </c>
      <c r="D6" s="35">
        <v>46207</v>
      </c>
    </row>
    <row r="7" spans="1:4" ht="63" x14ac:dyDescent="0.25">
      <c r="A7" s="8" t="s">
        <v>67</v>
      </c>
      <c r="B7" s="9" t="s">
        <v>68</v>
      </c>
      <c r="C7" s="89" t="s">
        <v>69</v>
      </c>
      <c r="D7" s="35">
        <v>46207</v>
      </c>
    </row>
    <row r="8" spans="1:4" ht="63" x14ac:dyDescent="0.25">
      <c r="A8" s="8" t="s">
        <v>70</v>
      </c>
      <c r="B8" s="9" t="s">
        <v>71</v>
      </c>
      <c r="C8" s="89" t="s">
        <v>72</v>
      </c>
      <c r="D8" s="35">
        <v>46207</v>
      </c>
    </row>
    <row r="9" spans="1:4" ht="31.5" x14ac:dyDescent="0.25">
      <c r="A9" s="8" t="s">
        <v>73</v>
      </c>
      <c r="B9" s="10">
        <v>46203</v>
      </c>
      <c r="C9" s="89" t="s">
        <v>74</v>
      </c>
      <c r="D9" s="35">
        <v>46207</v>
      </c>
    </row>
    <row r="10" spans="1:4" ht="31.5" x14ac:dyDescent="0.25">
      <c r="A10" s="8" t="s">
        <v>75</v>
      </c>
      <c r="B10" s="10">
        <v>46203</v>
      </c>
      <c r="C10" s="89" t="s">
        <v>76</v>
      </c>
      <c r="D10" s="35">
        <v>46207</v>
      </c>
    </row>
    <row r="11" spans="1:4" ht="31.5" x14ac:dyDescent="0.25">
      <c r="A11" s="8" t="s">
        <v>77</v>
      </c>
      <c r="B11" s="9">
        <v>2026</v>
      </c>
      <c r="C11" s="89" t="s">
        <v>78</v>
      </c>
      <c r="D11" s="35">
        <v>46207</v>
      </c>
    </row>
    <row r="12" spans="1:4" ht="31.5" x14ac:dyDescent="0.25">
      <c r="A12" s="8" t="s">
        <v>79</v>
      </c>
      <c r="B12" s="9" t="s">
        <v>80</v>
      </c>
      <c r="C12" s="89" t="s">
        <v>81</v>
      </c>
      <c r="D12" s="35">
        <v>46207</v>
      </c>
    </row>
    <row r="13" spans="1:4" ht="63" x14ac:dyDescent="0.25">
      <c r="A13" s="36" t="s">
        <v>236</v>
      </c>
      <c r="B13" s="36" t="s">
        <v>237</v>
      </c>
      <c r="C13" s="90" t="s">
        <v>238</v>
      </c>
      <c r="D13" s="35">
        <v>46207</v>
      </c>
    </row>
    <row r="14" spans="1:4" x14ac:dyDescent="0.25">
      <c r="C14" s="91"/>
    </row>
  </sheetData>
  <hyperlinks>
    <hyperlink ref="C13" r:id="rId1" xr:uid="{72DA6CCB-CE50-4AA3-883C-9DB241D661BB}"/>
    <hyperlink ref="C12" r:id="rId2" xr:uid="{6780552A-A99E-4E6D-A90F-AD756985C0D0}"/>
    <hyperlink ref="C11" r:id="rId3" xr:uid="{4AFDFB4D-8487-41D7-A812-8DD4435FE6B6}"/>
    <hyperlink ref="C10" r:id="rId4" xr:uid="{1A355037-7CD4-4070-9451-4AC682248BBB}"/>
    <hyperlink ref="C9" r:id="rId5" xr:uid="{3AA02D6C-8B04-46CD-A1AF-39EBB87978BD}"/>
    <hyperlink ref="C8" r:id="rId6" xr:uid="{440BA88D-CA53-43A6-B2C3-06E505F5CA93}"/>
    <hyperlink ref="C7" r:id="rId7" xr:uid="{65316C38-6E68-4D01-A0EB-E011773AA523}"/>
    <hyperlink ref="C6" r:id="rId8" xr:uid="{D41DF977-91E5-40EE-B11B-B845AC3956B1}"/>
    <hyperlink ref="C5" r:id="rId9" xr:uid="{CAA11566-182E-4563-B3FF-BA16B2E5C1D0}"/>
    <hyperlink ref="C4" r:id="rId10" xr:uid="{E8499435-3435-4BC0-BC11-3E234F632EF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CF87-F8D7-43B9-A072-DD8611211E8F}">
  <dimension ref="A1:Z36"/>
  <sheetViews>
    <sheetView showGridLines="0" zoomScale="40" zoomScaleNormal="40" workbookViewId="0">
      <selection activeCell="E22" sqref="E22"/>
    </sheetView>
  </sheetViews>
  <sheetFormatPr defaultColWidth="8.875" defaultRowHeight="15.75" x14ac:dyDescent="0.25"/>
  <cols>
    <col min="1" max="1" width="35" style="3" customWidth="1"/>
    <col min="2" max="9" width="13.625" style="4" customWidth="1"/>
    <col min="10" max="10" width="130.5" style="4" bestFit="1" customWidth="1"/>
    <col min="11" max="26" width="14.125" style="4" customWidth="1"/>
  </cols>
  <sheetData>
    <row r="1" spans="1:10" x14ac:dyDescent="0.25">
      <c r="A1" s="55" t="s">
        <v>16</v>
      </c>
      <c r="B1" s="56"/>
      <c r="C1" s="56"/>
      <c r="D1" s="56"/>
      <c r="E1" s="56"/>
      <c r="F1" s="56"/>
      <c r="G1" s="56"/>
    </row>
    <row r="3" spans="1:10" x14ac:dyDescent="0.25">
      <c r="A3" s="77" t="s">
        <v>82</v>
      </c>
      <c r="B3" s="78" t="s">
        <v>128</v>
      </c>
      <c r="C3" s="78" t="s">
        <v>129</v>
      </c>
      <c r="D3" s="78" t="s">
        <v>130</v>
      </c>
      <c r="E3" s="78" t="s">
        <v>83</v>
      </c>
      <c r="F3" s="78" t="s">
        <v>84</v>
      </c>
      <c r="G3" s="78" t="s">
        <v>85</v>
      </c>
      <c r="H3" s="78" t="s">
        <v>86</v>
      </c>
      <c r="I3" s="78" t="s">
        <v>87</v>
      </c>
      <c r="J3" s="81" t="s">
        <v>88</v>
      </c>
    </row>
    <row r="4" spans="1:10" x14ac:dyDescent="0.25">
      <c r="A4" s="3" t="s">
        <v>89</v>
      </c>
      <c r="B4" s="30">
        <f>'3Stmt'!C5</f>
        <v>0.28880753208186682</v>
      </c>
      <c r="C4" s="30">
        <f>'3Stmt'!D5</f>
        <v>0.12566787394919343</v>
      </c>
      <c r="D4" s="30">
        <f>'3Stmt'!E5</f>
        <v>7.5963094927485653E-2</v>
      </c>
      <c r="E4" s="14">
        <v>0.105</v>
      </c>
      <c r="F4" s="14">
        <v>0.08</v>
      </c>
      <c r="G4" s="32">
        <v>6.5000000000000002E-2</v>
      </c>
      <c r="H4" s="14">
        <v>5.5E-2</v>
      </c>
      <c r="I4" s="14">
        <v>4.4999999999999998E-2</v>
      </c>
      <c r="J4" s="9" t="s">
        <v>239</v>
      </c>
    </row>
    <row r="5" spans="1:10" x14ac:dyDescent="0.25">
      <c r="A5" s="3" t="s">
        <v>90</v>
      </c>
      <c r="B5" s="30">
        <f>'3Stmt'!C8</f>
        <v>0.27094852334164704</v>
      </c>
      <c r="C5" s="30">
        <f>'3Stmt'!D8</f>
        <v>0.27409649174212175</v>
      </c>
      <c r="D5" s="30">
        <f>'3Stmt'!E8</f>
        <v>0.26556517160294207</v>
      </c>
      <c r="E5" s="14">
        <v>0.27500000000000002</v>
      </c>
      <c r="F5" s="14">
        <v>0.27300000000000002</v>
      </c>
      <c r="G5" s="32">
        <v>0.27200000000000002</v>
      </c>
      <c r="H5" s="14">
        <v>0.27200000000000002</v>
      </c>
      <c r="I5" s="14">
        <v>0.27200000000000002</v>
      </c>
      <c r="J5" s="9" t="s">
        <v>240</v>
      </c>
    </row>
    <row r="6" spans="1:10" x14ac:dyDescent="0.25">
      <c r="A6" s="3" t="s">
        <v>91</v>
      </c>
      <c r="B6" s="30">
        <f>'3Stmt'!C10</f>
        <v>9.4769123639891123E-2</v>
      </c>
      <c r="C6" s="30">
        <f>'3Stmt'!D10</f>
        <v>8.3539513828216769E-2</v>
      </c>
      <c r="D6" s="30">
        <f>'3Stmt'!E10</f>
        <v>7.6206554053824996E-2</v>
      </c>
      <c r="E6" s="14">
        <v>8.2000000000000003E-2</v>
      </c>
      <c r="F6" s="14">
        <v>8.3000000000000004E-2</v>
      </c>
      <c r="G6" s="32">
        <v>8.4000000000000005E-2</v>
      </c>
      <c r="H6" s="14">
        <v>8.5000000000000006E-2</v>
      </c>
      <c r="I6" s="14">
        <v>8.5000000000000006E-2</v>
      </c>
      <c r="J6" s="9" t="s">
        <v>241</v>
      </c>
    </row>
    <row r="7" spans="1:10" x14ac:dyDescent="0.25">
      <c r="A7" s="3" t="s">
        <v>92</v>
      </c>
      <c r="B7" s="30">
        <f>'3Stmt'!C11/'3Stmt'!C4</f>
        <v>1.1907864051520453E-2</v>
      </c>
      <c r="C7" s="30">
        <f>'3Stmt'!D11/'3Stmt'!D4</f>
        <v>1.3199766467914747E-2</v>
      </c>
      <c r="D7" s="30">
        <f>'3Stmt'!E11/'3Stmt'!E4</f>
        <v>1.2850022429910764E-2</v>
      </c>
      <c r="E7" s="14">
        <v>1.2999999999999999E-2</v>
      </c>
      <c r="F7" s="14">
        <v>1.2999999999999999E-2</v>
      </c>
      <c r="G7" s="32">
        <v>1.2999999999999999E-2</v>
      </c>
      <c r="H7" s="14">
        <v>1.2999999999999999E-2</v>
      </c>
      <c r="I7" s="14">
        <v>1.2999999999999999E-2</v>
      </c>
      <c r="J7" s="9" t="s">
        <v>242</v>
      </c>
    </row>
    <row r="8" spans="1:10" x14ac:dyDescent="0.25">
      <c r="A8" s="3" t="s">
        <v>93</v>
      </c>
      <c r="B8" s="30">
        <f>ABS('3Stmt'!C42)/'3Stmt'!C4</f>
        <v>1.0395567506728008E-2</v>
      </c>
      <c r="C8" s="30">
        <f>ABS('3Stmt'!D42)/'3Stmt'!D4</f>
        <v>1.1126573466193409E-2</v>
      </c>
      <c r="D8" s="30">
        <f>ABS('3Stmt'!E42)/'3Stmt'!E4</f>
        <v>8.4808792073032234E-3</v>
      </c>
      <c r="E8" s="14">
        <v>1.2999999999999999E-2</v>
      </c>
      <c r="F8" s="14">
        <v>1.2E-2</v>
      </c>
      <c r="G8" s="32">
        <v>1.0999999999999999E-2</v>
      </c>
      <c r="H8" s="14">
        <v>1.0999999999999999E-2</v>
      </c>
      <c r="I8" s="14">
        <v>1.0999999999999999E-2</v>
      </c>
      <c r="J8" s="9" t="s">
        <v>245</v>
      </c>
    </row>
    <row r="9" spans="1:10" x14ac:dyDescent="0.25">
      <c r="A9" s="3" t="s">
        <v>229</v>
      </c>
      <c r="B9" s="30">
        <f>'3Stmt'!C21/'3Stmt'!C4</f>
        <v>1.0226135549944927E-2</v>
      </c>
      <c r="C9" s="30">
        <f>'3Stmt'!D21/'3Stmt'!D4</f>
        <v>9.3821345036847453E-3</v>
      </c>
      <c r="D9" s="30">
        <f>'3Stmt'!E21/'3Stmt'!E4</f>
        <v>1.1658581729057977E-2</v>
      </c>
      <c r="E9" s="14">
        <f>'3Stmt'!F21/'3Stmt'!F4</f>
        <v>2.0000000000000007E-2</v>
      </c>
      <c r="F9" s="14">
        <f>'3Stmt'!G21/'3Stmt'!G4</f>
        <v>1.9999999999999997E-2</v>
      </c>
      <c r="G9" s="33">
        <f>'3Stmt'!H21/'3Stmt'!H4</f>
        <v>2.0000000000000007E-2</v>
      </c>
      <c r="H9" s="20">
        <f>'3Stmt'!I21/'3Stmt'!I4</f>
        <v>2.0000000000000007E-2</v>
      </c>
      <c r="I9" s="20">
        <f>'3Stmt'!J21/'3Stmt'!J4</f>
        <v>5.3140960681073844E-2</v>
      </c>
      <c r="J9" s="58" t="s">
        <v>261</v>
      </c>
    </row>
    <row r="10" spans="1:10" x14ac:dyDescent="0.25">
      <c r="A10" s="3" t="s">
        <v>94</v>
      </c>
      <c r="B10" s="31">
        <f>'3Stmt'!C22/'3Stmt'!C4*365</f>
        <v>35.670029484992547</v>
      </c>
      <c r="C10" s="31">
        <f>'3Stmt'!D22/'3Stmt'!D4*365</f>
        <v>37.355613876435648</v>
      </c>
      <c r="D10" s="31">
        <f>'3Stmt'!E22/'3Stmt'!E4*365</f>
        <v>41.003959415986138</v>
      </c>
      <c r="E10" s="15">
        <v>40.5</v>
      </c>
      <c r="F10" s="15">
        <v>40</v>
      </c>
      <c r="G10" s="34">
        <v>39.5</v>
      </c>
      <c r="H10" s="15">
        <v>39</v>
      </c>
      <c r="I10" s="15">
        <v>38.5</v>
      </c>
      <c r="J10" s="9" t="s">
        <v>271</v>
      </c>
    </row>
    <row r="11" spans="1:10" x14ac:dyDescent="0.25">
      <c r="A11" s="3" t="s">
        <v>95</v>
      </c>
      <c r="B11" s="31">
        <f>'3Stmt'!C23/'3Stmt'!C6*365</f>
        <v>137.90999266004755</v>
      </c>
      <c r="C11" s="31">
        <f>'3Stmt'!D23/'3Stmt'!D6*365</f>
        <v>136.95722439064261</v>
      </c>
      <c r="D11" s="31">
        <f>'3Stmt'!E23/'3Stmt'!E6*365</f>
        <v>134.22786869456769</v>
      </c>
      <c r="E11" s="15">
        <v>132</v>
      </c>
      <c r="F11" s="15">
        <v>130</v>
      </c>
      <c r="G11" s="34">
        <v>128</v>
      </c>
      <c r="H11" s="15">
        <v>127</v>
      </c>
      <c r="I11" s="15">
        <v>126</v>
      </c>
      <c r="J11" s="9" t="s">
        <v>272</v>
      </c>
    </row>
    <row r="12" spans="1:10" x14ac:dyDescent="0.25">
      <c r="A12" s="3" t="s">
        <v>96</v>
      </c>
      <c r="B12" s="31">
        <f>'3Stmt'!C29/'3Stmt'!C6*365</f>
        <v>21.11843416851104</v>
      </c>
      <c r="C12" s="31">
        <f>'3Stmt'!D29/'3Stmt'!D6*365</f>
        <v>17.746040902080747</v>
      </c>
      <c r="D12" s="31">
        <f>'3Stmt'!E29/'3Stmt'!E6*365</f>
        <v>16.29158528978887</v>
      </c>
      <c r="E12" s="15">
        <v>16.5</v>
      </c>
      <c r="F12" s="15">
        <v>16.8</v>
      </c>
      <c r="G12" s="34">
        <v>17</v>
      </c>
      <c r="H12" s="15">
        <v>17.2</v>
      </c>
      <c r="I12" s="15">
        <v>17.5</v>
      </c>
      <c r="J12" s="9" t="s">
        <v>273</v>
      </c>
    </row>
    <row r="13" spans="1:10" x14ac:dyDescent="0.25">
      <c r="A13" s="3" t="s">
        <v>97</v>
      </c>
      <c r="B13" s="30">
        <f>'3Stmt'!C24/'3Stmt'!C4</f>
        <v>5.6449034648424585E-3</v>
      </c>
      <c r="C13" s="30">
        <f>'3Stmt'!D24/'3Stmt'!D4</f>
        <v>5.7923446509505049E-3</v>
      </c>
      <c r="D13" s="30">
        <f>'3Stmt'!E24/'3Stmt'!E4</f>
        <v>4.9818131277691328E-3</v>
      </c>
      <c r="E13" s="14">
        <v>5.0000000000000001E-3</v>
      </c>
      <c r="F13" s="14">
        <v>5.0000000000000001E-3</v>
      </c>
      <c r="G13" s="32">
        <v>5.0000000000000001E-3</v>
      </c>
      <c r="H13" s="14">
        <v>5.0000000000000001E-3</v>
      </c>
      <c r="I13" s="14">
        <v>5.0000000000000001E-3</v>
      </c>
      <c r="J13" s="9" t="s">
        <v>270</v>
      </c>
    </row>
    <row r="14" spans="1:10" ht="26.25" x14ac:dyDescent="0.25">
      <c r="A14" s="3" t="s">
        <v>98</v>
      </c>
      <c r="B14" s="30">
        <f>'3Stmt'!C31/'3Stmt'!C4</f>
        <v>2.836384020951534E-2</v>
      </c>
      <c r="C14" s="30">
        <f>'3Stmt'!D31/'3Stmt'!D4</f>
        <v>2.9149930078976347E-2</v>
      </c>
      <c r="D14" s="30">
        <f>'3Stmt'!E31/'3Stmt'!E4</f>
        <v>2.9899692535077099E-2</v>
      </c>
      <c r="E14" s="14">
        <v>0.03</v>
      </c>
      <c r="F14" s="14">
        <v>0.03</v>
      </c>
      <c r="G14" s="32">
        <v>0.03</v>
      </c>
      <c r="H14" s="14">
        <v>0.03</v>
      </c>
      <c r="I14" s="14">
        <v>0.03</v>
      </c>
      <c r="J14" s="9" t="s">
        <v>269</v>
      </c>
    </row>
    <row r="15" spans="1:10" x14ac:dyDescent="0.25">
      <c r="A15" s="3" t="s">
        <v>99</v>
      </c>
      <c r="B15" s="30">
        <f>'3Stmt'!C16/'3Stmt'!C15</f>
        <v>0.19357270382860536</v>
      </c>
      <c r="C15" s="30">
        <f>'3Stmt'!D16/'3Stmt'!D15</f>
        <v>0.19585508255036152</v>
      </c>
      <c r="D15" s="30">
        <f>'3Stmt'!E16/'3Stmt'!E15</f>
        <v>0.19647783499949512</v>
      </c>
      <c r="E15" s="14">
        <v>0.19600000000000001</v>
      </c>
      <c r="F15" s="14">
        <v>0.19600000000000001</v>
      </c>
      <c r="G15" s="32">
        <v>0.19600000000000001</v>
      </c>
      <c r="H15" s="14">
        <v>0.19600000000000001</v>
      </c>
      <c r="I15" s="14">
        <v>0.19600000000000001</v>
      </c>
      <c r="J15" s="9" t="s">
        <v>243</v>
      </c>
    </row>
    <row r="16" spans="1:10" x14ac:dyDescent="0.25">
      <c r="A16" s="3" t="s">
        <v>230</v>
      </c>
      <c r="B16" s="30">
        <f>'3Stmt'!C14/'3Stmt'!B30</f>
        <v>5.0843228222593087E-2</v>
      </c>
      <c r="C16" s="30">
        <f>'3Stmt'!D14/'3Stmt'!C30</f>
        <v>6.253469387755102E-2</v>
      </c>
      <c r="D16" s="30">
        <f>'3Stmt'!E14/'3Stmt'!D30</f>
        <v>6.2229758855174476E-2</v>
      </c>
      <c r="E16" s="14">
        <v>0.06</v>
      </c>
      <c r="F16" s="14">
        <v>0.06</v>
      </c>
      <c r="G16" s="32">
        <v>0.06</v>
      </c>
      <c r="H16" s="14">
        <v>0.06</v>
      </c>
      <c r="I16" s="14">
        <v>0.06</v>
      </c>
      <c r="J16" s="9" t="s">
        <v>244</v>
      </c>
    </row>
    <row r="17" spans="1:10" x14ac:dyDescent="0.25">
      <c r="A17" s="3" t="s">
        <v>101</v>
      </c>
      <c r="B17" s="30">
        <f>-'3Stmt'!C43/'3Stmt'!C17</f>
        <v>8.7630710330700481E-2</v>
      </c>
      <c r="C17" s="30">
        <f>-'3Stmt'!D43/'3Stmt'!D17</f>
        <v>9.4207985536792702E-2</v>
      </c>
      <c r="D17" s="30">
        <f>-'3Stmt'!E43/'3Stmt'!E17</f>
        <v>9.8490941628295095E-2</v>
      </c>
      <c r="E17" s="14">
        <v>0.1</v>
      </c>
      <c r="F17" s="14">
        <v>0.1</v>
      </c>
      <c r="G17" s="32">
        <v>0.1</v>
      </c>
      <c r="H17" s="14">
        <v>0.15</v>
      </c>
      <c r="I17" s="14">
        <v>0.25</v>
      </c>
      <c r="J17" s="58" t="s">
        <v>262</v>
      </c>
    </row>
    <row r="18" spans="1:10" x14ac:dyDescent="0.25">
      <c r="A18" s="61" t="s">
        <v>260</v>
      </c>
      <c r="E18" s="67">
        <v>0.02</v>
      </c>
      <c r="F18" s="67">
        <v>0.02</v>
      </c>
      <c r="G18" s="67">
        <v>0.02</v>
      </c>
      <c r="H18" s="67">
        <v>0.02</v>
      </c>
      <c r="I18" s="67">
        <v>0.02</v>
      </c>
      <c r="J18" s="63" t="s">
        <v>274</v>
      </c>
    </row>
    <row r="20" spans="1:10" x14ac:dyDescent="0.25">
      <c r="A20" s="55" t="s">
        <v>102</v>
      </c>
      <c r="B20" s="56" t="s">
        <v>53</v>
      </c>
      <c r="C20" s="56" t="s">
        <v>88</v>
      </c>
    </row>
    <row r="21" spans="1:10" ht="39" x14ac:dyDescent="0.25">
      <c r="A21" s="3" t="s">
        <v>73</v>
      </c>
      <c r="B21" s="16">
        <v>24.9</v>
      </c>
      <c r="C21" s="9" t="s">
        <v>103</v>
      </c>
    </row>
    <row r="22" spans="1:10" ht="51.75" x14ac:dyDescent="0.25">
      <c r="A22" s="3" t="s">
        <v>104</v>
      </c>
      <c r="B22" s="17">
        <v>130.62</v>
      </c>
      <c r="C22" s="9" t="s">
        <v>105</v>
      </c>
    </row>
    <row r="23" spans="1:10" ht="26.25" x14ac:dyDescent="0.25">
      <c r="A23" s="3" t="s">
        <v>106</v>
      </c>
      <c r="B23" s="18">
        <f>B21*B22</f>
        <v>3252.4380000000001</v>
      </c>
      <c r="C23" s="9" t="s">
        <v>107</v>
      </c>
    </row>
    <row r="24" spans="1:10" ht="39" x14ac:dyDescent="0.25">
      <c r="A24" s="3" t="s">
        <v>263</v>
      </c>
      <c r="B24" s="19">
        <v>501.6</v>
      </c>
      <c r="C24" s="9" t="s">
        <v>264</v>
      </c>
    </row>
    <row r="25" spans="1:10" ht="26.25" x14ac:dyDescent="0.25">
      <c r="A25" s="3" t="s">
        <v>266</v>
      </c>
      <c r="B25" s="19">
        <v>51.588000000000001</v>
      </c>
      <c r="C25" s="9" t="s">
        <v>265</v>
      </c>
    </row>
    <row r="26" spans="1:10" ht="26.25" x14ac:dyDescent="0.25">
      <c r="A26" s="3" t="s">
        <v>108</v>
      </c>
      <c r="B26" s="18">
        <f>B24-B25</f>
        <v>450.012</v>
      </c>
      <c r="C26" s="9" t="s">
        <v>109</v>
      </c>
    </row>
    <row r="27" spans="1:10" ht="39" x14ac:dyDescent="0.25">
      <c r="A27" s="3" t="s">
        <v>110</v>
      </c>
      <c r="B27" s="14">
        <v>5.9200000000000003E-2</v>
      </c>
      <c r="C27" s="9" t="s">
        <v>111</v>
      </c>
    </row>
    <row r="28" spans="1:10" ht="64.5" x14ac:dyDescent="0.25">
      <c r="A28" s="3" t="s">
        <v>112</v>
      </c>
      <c r="B28" s="14">
        <v>4.7500000000000001E-2</v>
      </c>
      <c r="C28" s="9" t="s">
        <v>113</v>
      </c>
    </row>
    <row r="29" spans="1:10" ht="51.75" x14ac:dyDescent="0.25">
      <c r="A29" s="3" t="s">
        <v>114</v>
      </c>
      <c r="B29" s="16">
        <v>0.9</v>
      </c>
      <c r="C29" s="9" t="s">
        <v>115</v>
      </c>
    </row>
    <row r="30" spans="1:10" ht="51.75" x14ac:dyDescent="0.25">
      <c r="A30" s="3" t="s">
        <v>116</v>
      </c>
      <c r="B30" s="14">
        <v>5.0000000000000001E-3</v>
      </c>
      <c r="C30" s="9" t="s">
        <v>117</v>
      </c>
    </row>
    <row r="31" spans="1:10" ht="26.25" x14ac:dyDescent="0.25">
      <c r="A31" s="3" t="s">
        <v>118</v>
      </c>
      <c r="B31" s="14">
        <v>0.06</v>
      </c>
      <c r="C31" s="9" t="s">
        <v>100</v>
      </c>
    </row>
    <row r="32" spans="1:10" ht="51.75" x14ac:dyDescent="0.25">
      <c r="A32" s="3" t="s">
        <v>119</v>
      </c>
      <c r="B32" s="20">
        <f>B24/(B23+B24)</f>
        <v>0.13361612215965848</v>
      </c>
      <c r="C32" s="9" t="s">
        <v>267</v>
      </c>
    </row>
    <row r="33" spans="1:3" ht="26.25" x14ac:dyDescent="0.25">
      <c r="A33" s="3" t="s">
        <v>120</v>
      </c>
      <c r="B33" s="20">
        <f>B27+B29*B28+B30</f>
        <v>0.10695000000000002</v>
      </c>
      <c r="C33" s="9" t="s">
        <v>121</v>
      </c>
    </row>
    <row r="34" spans="1:3" ht="39" x14ac:dyDescent="0.25">
      <c r="A34" s="3" t="s">
        <v>122</v>
      </c>
      <c r="B34" s="20">
        <f>B31*(1-$E$15)</f>
        <v>4.8239999999999998E-2</v>
      </c>
      <c r="C34" s="9" t="s">
        <v>123</v>
      </c>
    </row>
    <row r="35" spans="1:3" ht="51.75" x14ac:dyDescent="0.25">
      <c r="A35" s="3" t="s">
        <v>124</v>
      </c>
      <c r="B35" s="20">
        <f>(1-B32)*B33+B32*B34</f>
        <v>9.9105397468006465E-2</v>
      </c>
      <c r="C35" s="9" t="s">
        <v>268</v>
      </c>
    </row>
    <row r="36" spans="1:3" ht="39" x14ac:dyDescent="0.25">
      <c r="A36" s="3" t="s">
        <v>125</v>
      </c>
      <c r="B36" s="14">
        <v>0.03</v>
      </c>
      <c r="C36" s="9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AEC4-395D-47EB-8BE8-D9CBFB0B4A68}">
  <dimension ref="A1:Z37"/>
  <sheetViews>
    <sheetView showGridLines="0" zoomScale="70" zoomScaleNormal="70" workbookViewId="0">
      <selection activeCell="I17" sqref="I17"/>
    </sheetView>
  </sheetViews>
  <sheetFormatPr defaultColWidth="8.875" defaultRowHeight="15.75" x14ac:dyDescent="0.25"/>
  <cols>
    <col min="1" max="1" width="31.625" style="3" customWidth="1"/>
    <col min="2" max="26" width="14.125" style="4" customWidth="1"/>
  </cols>
  <sheetData>
    <row r="1" spans="1:6" x14ac:dyDescent="0.25">
      <c r="A1" s="55" t="s">
        <v>154</v>
      </c>
      <c r="B1" s="56"/>
      <c r="C1" s="56"/>
      <c r="D1" s="56"/>
      <c r="E1" s="56"/>
      <c r="F1" s="56"/>
    </row>
    <row r="2" spans="1:6" x14ac:dyDescent="0.25">
      <c r="A2" s="96" t="s">
        <v>280</v>
      </c>
      <c r="B2" s="78"/>
      <c r="C2" s="78"/>
      <c r="D2" s="78"/>
      <c r="E2" s="78"/>
      <c r="F2" s="78"/>
    </row>
    <row r="4" spans="1:6" x14ac:dyDescent="0.25">
      <c r="A4" s="77" t="s">
        <v>155</v>
      </c>
      <c r="B4" s="78" t="s">
        <v>83</v>
      </c>
      <c r="C4" s="78" t="s">
        <v>84</v>
      </c>
      <c r="D4" s="78" t="s">
        <v>85</v>
      </c>
      <c r="E4" s="78" t="s">
        <v>86</v>
      </c>
      <c r="F4" s="78" t="s">
        <v>87</v>
      </c>
    </row>
    <row r="5" spans="1:6" x14ac:dyDescent="0.25">
      <c r="A5" s="3" t="s">
        <v>3</v>
      </c>
      <c r="B5" s="18">
        <f>'3Stmt'!F4</f>
        <v>4889.5089750000006</v>
      </c>
      <c r="C5" s="18">
        <f>'3Stmt'!G4</f>
        <v>5280.6696930000007</v>
      </c>
      <c r="D5" s="18">
        <f>'3Stmt'!H4</f>
        <v>5623.9132230450004</v>
      </c>
      <c r="E5" s="18">
        <f>'3Stmt'!I4</f>
        <v>5933.2284503124747</v>
      </c>
      <c r="F5" s="18">
        <f>'3Stmt'!J4</f>
        <v>6200.2237305765357</v>
      </c>
    </row>
    <row r="6" spans="1:6" x14ac:dyDescent="0.25">
      <c r="A6" s="3" t="s">
        <v>136</v>
      </c>
      <c r="B6" s="18">
        <f>'3Stmt'!F12</f>
        <v>337.37611927500006</v>
      </c>
      <c r="C6" s="18">
        <f>'3Stmt'!G12</f>
        <v>369.64687851000008</v>
      </c>
      <c r="D6" s="18">
        <f>'3Stmt'!H12</f>
        <v>399.29783883619507</v>
      </c>
      <c r="E6" s="18">
        <f>'3Stmt'!I12</f>
        <v>427.19244842249822</v>
      </c>
      <c r="F6" s="18">
        <f>'3Stmt'!J12</f>
        <v>446.41610860151064</v>
      </c>
    </row>
    <row r="7" spans="1:6" x14ac:dyDescent="0.25">
      <c r="A7" s="3" t="s">
        <v>17</v>
      </c>
      <c r="B7" s="20">
        <f>'3Stmt'!F16/'3Stmt'!F15</f>
        <v>0.19600000000000001</v>
      </c>
      <c r="C7" s="20">
        <f>'3Stmt'!G16/'3Stmt'!G15</f>
        <v>0.19600000000000004</v>
      </c>
      <c r="D7" s="20">
        <f>'3Stmt'!H16/'3Stmt'!H15</f>
        <v>0.19600000000000001</v>
      </c>
      <c r="E7" s="20">
        <f>'3Stmt'!I16/'3Stmt'!I15</f>
        <v>0.19600000000000001</v>
      </c>
      <c r="F7" s="20">
        <f>'3Stmt'!J16/'3Stmt'!J15</f>
        <v>0.19600000000000001</v>
      </c>
    </row>
    <row r="8" spans="1:6" x14ac:dyDescent="0.25">
      <c r="A8" s="3" t="s">
        <v>156</v>
      </c>
      <c r="B8" s="18">
        <f>B6*(1-B7)</f>
        <v>271.25039989710007</v>
      </c>
      <c r="C8" s="18">
        <f>C6*(1-C7)</f>
        <v>297.19609032204005</v>
      </c>
      <c r="D8" s="18">
        <f>D6*(1-D7)</f>
        <v>321.03546242430087</v>
      </c>
      <c r="E8" s="18">
        <f>E6*(1-E7)</f>
        <v>343.46272853168858</v>
      </c>
      <c r="F8" s="18">
        <f>F6*(1-F7)</f>
        <v>358.91855131561459</v>
      </c>
    </row>
    <row r="9" spans="1:6" x14ac:dyDescent="0.25">
      <c r="A9" s="3" t="s">
        <v>148</v>
      </c>
      <c r="B9" s="18">
        <f>'3Stmt'!F11</f>
        <v>63.563616675000006</v>
      </c>
      <c r="C9" s="18">
        <f>'3Stmt'!G11</f>
        <v>68.648706009000009</v>
      </c>
      <c r="D9" s="18">
        <f>'3Stmt'!H11</f>
        <v>73.110871899585007</v>
      </c>
      <c r="E9" s="18">
        <f>'3Stmt'!I11</f>
        <v>77.131969854062163</v>
      </c>
      <c r="F9" s="18">
        <f>'3Stmt'!J11</f>
        <v>80.602908497494965</v>
      </c>
    </row>
    <row r="10" spans="1:6" x14ac:dyDescent="0.25">
      <c r="A10" s="3" t="s">
        <v>18</v>
      </c>
      <c r="B10" s="18">
        <f>'3Stmt'!F42</f>
        <v>-63.563616675000006</v>
      </c>
      <c r="C10" s="18">
        <f>'3Stmt'!G42</f>
        <v>-63.368036316000008</v>
      </c>
      <c r="D10" s="18">
        <f>'3Stmt'!H42</f>
        <v>-61.863045453495005</v>
      </c>
      <c r="E10" s="18">
        <f>'3Stmt'!I42</f>
        <v>-65.265512953437224</v>
      </c>
      <c r="F10" s="18">
        <f>'3Stmt'!J42</f>
        <v>-68.202461036341887</v>
      </c>
    </row>
    <row r="11" spans="1:6" x14ac:dyDescent="0.25">
      <c r="A11" s="3" t="s">
        <v>150</v>
      </c>
      <c r="B11" s="18">
        <f>'3Stmt'!F40</f>
        <v>105.15326543750029</v>
      </c>
      <c r="C11" s="18">
        <f>'3Stmt'!G40</f>
        <v>95.279945779979926</v>
      </c>
      <c r="D11" s="18">
        <f>'3Stmt'!H40</f>
        <v>75.788388447759189</v>
      </c>
      <c r="E11" s="18">
        <f>'3Stmt'!I40</f>
        <v>71.892362503918093</v>
      </c>
      <c r="F11" s="18">
        <f>'3Stmt'!J40</f>
        <v>55.755035410199071</v>
      </c>
    </row>
    <row r="12" spans="1:6" x14ac:dyDescent="0.25">
      <c r="A12" s="3" t="s">
        <v>157</v>
      </c>
      <c r="B12" s="18">
        <f>B8+B9+B10-B11</f>
        <v>166.09713445959977</v>
      </c>
      <c r="C12" s="18">
        <f>C8+C9+C10-C11</f>
        <v>207.19681423506012</v>
      </c>
      <c r="D12" s="18">
        <f>D8+D9+D10-D11</f>
        <v>256.49490042263164</v>
      </c>
      <c r="E12" s="18">
        <f>E8+E9+E10-E11</f>
        <v>283.43682292839543</v>
      </c>
      <c r="F12" s="18">
        <f>F8+F9+F10-F11</f>
        <v>315.5639633665686</v>
      </c>
    </row>
    <row r="13" spans="1:6" x14ac:dyDescent="0.25">
      <c r="A13" s="3" t="s">
        <v>158</v>
      </c>
      <c r="B13" s="24">
        <v>0.5</v>
      </c>
      <c r="C13" s="24">
        <v>1.5</v>
      </c>
      <c r="D13" s="24">
        <v>2.5</v>
      </c>
      <c r="E13" s="24">
        <v>3.5</v>
      </c>
      <c r="F13" s="24">
        <v>4.5</v>
      </c>
    </row>
    <row r="14" spans="1:6" x14ac:dyDescent="0.25">
      <c r="A14" s="3" t="s">
        <v>159</v>
      </c>
      <c r="B14" s="25">
        <f>1/(1+Assumptions!$B$35)^B13</f>
        <v>0.95385053955185861</v>
      </c>
      <c r="C14" s="25">
        <f>1/(1+Assumptions!$B$35)^C13</f>
        <v>0.86784264889357354</v>
      </c>
      <c r="D14" s="25">
        <f>1/(1+Assumptions!$B$35)^D13</f>
        <v>0.78959001647413463</v>
      </c>
      <c r="E14" s="25">
        <f>1/(1+Assumptions!$B$35)^E13</f>
        <v>0.71839335726410025</v>
      </c>
      <c r="F14" s="25">
        <f>1/(1+Assumptions!$B$35)^F13</f>
        <v>0.65361644016948051</v>
      </c>
    </row>
    <row r="15" spans="1:6" x14ac:dyDescent="0.25">
      <c r="A15" s="3" t="s">
        <v>160</v>
      </c>
      <c r="B15" s="18">
        <f>B12*B14</f>
        <v>158.43184132230684</v>
      </c>
      <c r="C15" s="18">
        <f>C12*C14</f>
        <v>179.81423210806426</v>
      </c>
      <c r="D15" s="18">
        <f>D12*D14</f>
        <v>202.52581265023724</v>
      </c>
      <c r="E15" s="18">
        <f>E12*E14</f>
        <v>203.61913079580029</v>
      </c>
      <c r="F15" s="18">
        <f>F12*F14</f>
        <v>206.25779438142894</v>
      </c>
    </row>
    <row r="17" spans="1:7" x14ac:dyDescent="0.25">
      <c r="A17" s="55" t="s">
        <v>161</v>
      </c>
      <c r="B17" s="95">
        <f>Assumptions!B36</f>
        <v>0.03</v>
      </c>
    </row>
    <row r="18" spans="1:7" x14ac:dyDescent="0.25">
      <c r="A18" s="3" t="s">
        <v>162</v>
      </c>
      <c r="B18" s="18">
        <f>F12*(1+B17)/(Assumptions!B35-B17)</f>
        <v>4703.408043026514</v>
      </c>
    </row>
    <row r="19" spans="1:7" x14ac:dyDescent="0.25">
      <c r="A19" s="3" t="s">
        <v>163</v>
      </c>
      <c r="B19" s="18">
        <f>B18*F14</f>
        <v>3074.224821747493</v>
      </c>
    </row>
    <row r="20" spans="1:7" x14ac:dyDescent="0.25">
      <c r="A20" s="3" t="s">
        <v>164</v>
      </c>
      <c r="B20" s="18">
        <f>SUM(B15:F15)+B19</f>
        <v>4024.8736330053307</v>
      </c>
    </row>
    <row r="21" spans="1:7" x14ac:dyDescent="0.25">
      <c r="A21" s="3" t="s">
        <v>165</v>
      </c>
      <c r="B21" s="18">
        <f>Assumptions!B26</f>
        <v>450.012</v>
      </c>
    </row>
    <row r="22" spans="1:7" x14ac:dyDescent="0.25">
      <c r="A22" s="3" t="s">
        <v>166</v>
      </c>
      <c r="B22" s="18">
        <f>B20-B21</f>
        <v>3574.8616330053305</v>
      </c>
    </row>
    <row r="23" spans="1:7" x14ac:dyDescent="0.25">
      <c r="A23" s="3" t="s">
        <v>167</v>
      </c>
      <c r="B23" s="26">
        <f>Assumptions!B22</f>
        <v>130.62</v>
      </c>
    </row>
    <row r="24" spans="1:7" x14ac:dyDescent="0.25">
      <c r="A24" s="92" t="s">
        <v>168</v>
      </c>
      <c r="B24" s="93">
        <f>B22/B23</f>
        <v>27.368409378390218</v>
      </c>
    </row>
    <row r="25" spans="1:7" x14ac:dyDescent="0.25">
      <c r="A25" s="3" t="s">
        <v>31</v>
      </c>
      <c r="B25" s="27">
        <f>Assumptions!B21</f>
        <v>24.9</v>
      </c>
    </row>
    <row r="26" spans="1:7" x14ac:dyDescent="0.25">
      <c r="A26" s="3" t="s">
        <v>169</v>
      </c>
      <c r="B26" s="20">
        <f>B24/B25-1</f>
        <v>9.9132906762659401E-2</v>
      </c>
    </row>
    <row r="30" spans="1:7" x14ac:dyDescent="0.25">
      <c r="A30" s="55" t="s">
        <v>170</v>
      </c>
      <c r="B30" s="56"/>
      <c r="C30" s="56" t="s">
        <v>161</v>
      </c>
      <c r="D30" s="56"/>
      <c r="E30" s="56"/>
      <c r="F30" s="56"/>
      <c r="G30" s="56"/>
    </row>
    <row r="31" spans="1:7" x14ac:dyDescent="0.25">
      <c r="B31" s="78" t="s">
        <v>171</v>
      </c>
      <c r="C31" s="94">
        <v>0.02</v>
      </c>
      <c r="D31" s="94">
        <v>2.5000000000000001E-2</v>
      </c>
      <c r="E31" s="94">
        <v>0.03</v>
      </c>
      <c r="F31" s="94">
        <v>3.5000000000000003E-2</v>
      </c>
      <c r="G31" s="94">
        <v>0.04</v>
      </c>
    </row>
    <row r="32" spans="1:7" x14ac:dyDescent="0.25">
      <c r="B32" s="94">
        <v>0.08</v>
      </c>
      <c r="C32" s="27">
        <f>(SUM(B12/(1+$B32)^0.5,C12/(1+$B32)^1.5,D12/(1+$B32)^2.5,E12/(1+$B32)^3.5,F12/(1+$B32)^4.5)+(F12*(1+C$31)/($B32-C$31))/(1+$B32)^4.5-Assumptions!$B$26)/Assumptions!$B$22</f>
        <v>33.226186616536701</v>
      </c>
      <c r="D32" s="27">
        <f>(SUM(B12/(1+$B32)^0.5,C12/(1+$B32)^1.5,D12/(1+$B32)^2.5,E12/(1+$B32)^3.5,F12/(1+$B32)^4.5)+(F12*(1+D$31)/($B32-D$31))/(1+$B32)^4.5-Assumptions!$B$26)/Assumptions!$B$22</f>
        <v>36.022273375175665</v>
      </c>
      <c r="E32" s="27">
        <f>(SUM(B12/(1+$B32)^0.5,C12/(1+$B32)^1.5,D12/(1+$B32)^2.5,E12/(1+$B32)^3.5,F12/(1+$B32)^4.5)+(F12*(1+E$31)/($B32-E$31))/(1+$B32)^4.5-Assumptions!$B$26)/Assumptions!$B$22</f>
        <v>39.377577485542446</v>
      </c>
      <c r="F32" s="27">
        <f>(SUM(B12/(1+$B32)^0.5,C12/(1+$B32)^1.5,D12/(1+$B32)^2.5,E12/(1+$B32)^3.5,F12/(1+$B32)^4.5)+(F12*(1+F$31)/($B32-F$31))/(1+$B32)^4.5-Assumptions!$B$26)/Assumptions!$B$22</f>
        <v>43.478504731546273</v>
      </c>
      <c r="G32" s="27">
        <f>(SUM(B12/(1+$B32)^0.5,C12/(1+$B32)^1.5,D12/(1+$B32)^2.5,E12/(1+$B32)^3.5,F12/(1+$B32)^4.5)+(F12*(1+G$31)/($B32-G$31))/(1+$B32)^4.5-Assumptions!$B$26)/Assumptions!$B$22</f>
        <v>48.60466378905106</v>
      </c>
    </row>
    <row r="33" spans="2:7" x14ac:dyDescent="0.25">
      <c r="B33" s="94">
        <v>8.5000000000000006E-2</v>
      </c>
      <c r="C33" s="27">
        <f>(SUM(B12/(1+$B33)^0.5,C12/(1+$B33)^1.5,D12/(1+$B33)^2.5,E12/(1+$B33)^3.5,F12/(1+$B33)^4.5)+(F12*(1+C$31)/($B33-C$31))/(1+$B33)^4.5-Assumptions!$B$26)/Assumptions!$B$22</f>
        <v>30.347218318897049</v>
      </c>
      <c r="D33" s="27">
        <f>(SUM(B12/(1+$B33)^0.5,C12/(1+$B33)^1.5,D12/(1+$B33)^2.5,E12/(1+$B33)^3.5,F12/(1+$B33)^4.5)+(F12*(1+D$31)/($B33-D$31))/(1+$B33)^4.5-Assumptions!$B$26)/Assumptions!$B$22</f>
        <v>32.675197200347405</v>
      </c>
      <c r="E33" s="27">
        <f>(SUM(B12/(1+$B33)^0.5,C12/(1+$B33)^1.5,D12/(1+$B33)^2.5,E12/(1+$B33)^3.5,F12/(1+$B33)^4.5)+(F12*(1+E$31)/($B33-E$31))/(1+$B33)^4.5-Assumptions!$B$26)/Assumptions!$B$22</f>
        <v>35.426444969334199</v>
      </c>
      <c r="F33" s="27">
        <f>(SUM(B12/(1+$B33)^0.5,C12/(1+$B33)^1.5,D12/(1+$B33)^2.5,E12/(1+$B33)^3.5,F12/(1+$B33)^4.5)+(F12*(1+F$31)/($B33-F$31))/(1+$B33)^4.5-Assumptions!$B$26)/Assumptions!$B$22</f>
        <v>38.727942292118342</v>
      </c>
      <c r="G33" s="27">
        <f>(SUM(B12/(1+$B33)^0.5,C12/(1+$B33)^1.5,D12/(1+$B33)^2.5,E12/(1+$B33)^3.5,F12/(1+$B33)^4.5)+(F12*(1+G$31)/($B33-G$31))/(1+$B33)^4.5-Assumptions!$B$26)/Assumptions!$B$22</f>
        <v>42.763105686632301</v>
      </c>
    </row>
    <row r="34" spans="2:7" x14ac:dyDescent="0.25">
      <c r="B34" s="94">
        <v>0.09</v>
      </c>
      <c r="C34" s="27">
        <f>(SUM(B12/(1+$B34)^0.5,C12/(1+$B34)^1.5,D12/(1+$B34)^2.5,E12/(1+$B34)^3.5,F12/(1+$B34)^4.5)+(F12*(1+C$31)/($B34-C$31))/(1+$B34)^4.5-Assumptions!$B$26)/Assumptions!$B$22</f>
        <v>27.88093093956482</v>
      </c>
      <c r="D34" s="27">
        <f>(SUM(B12/(1+$B34)^0.5,C12/(1+$B34)^1.5,D12/(1+$B34)^2.5,E12/(1+$B34)^3.5,F12/(1+$B34)^4.5)+(F12*(1+D$31)/($B34-D$31))/(1+$B34)^4.5-Assumptions!$B$26)/Assumptions!$B$22</f>
        <v>29.844488276668965</v>
      </c>
      <c r="E34" s="27">
        <f>(SUM(B12/(1+$B34)^0.5,C12/(1+$B34)^1.5,D12/(1+$B34)^2.5,E12/(1+$B34)^3.5,F12/(1+$B34)^4.5)+(F12*(1+E$31)/($B34-E$31))/(1+$B34)^4.5-Assumptions!$B$26)/Assumptions!$B$22</f>
        <v>32.135305169957157</v>
      </c>
      <c r="F34" s="27">
        <f>(SUM(B12/(1+$B34)^0.5,C12/(1+$B34)^1.5,D12/(1+$B34)^2.5,E12/(1+$B34)^3.5,F12/(1+$B34)^4.5)+(F12*(1+F$31)/($B34-F$31))/(1+$B34)^4.5-Assumptions!$B$26)/Assumptions!$B$22</f>
        <v>34.842634225661371</v>
      </c>
      <c r="G34" s="27">
        <f>(SUM(B12/(1+$B34)^0.5,C12/(1+$B34)^1.5,D12/(1+$B34)^2.5,E12/(1+$B34)^3.5,F12/(1+$B34)^4.5)+(F12*(1+G$31)/($B34-G$31))/(1+$B34)^4.5-Assumptions!$B$26)/Assumptions!$B$22</f>
        <v>38.091429092506424</v>
      </c>
    </row>
    <row r="35" spans="2:7" x14ac:dyDescent="0.25">
      <c r="B35" s="94">
        <v>9.5000000000000001E-2</v>
      </c>
      <c r="C35" s="27">
        <f>(SUM(B12/(1+$B35)^0.5,C12/(1+$B35)^1.5,D12/(1+$B35)^2.5,E12/(1+$B35)^3.5,F12/(1+$B35)^4.5)+(F12*(1+C$31)/($B35-C$31))/(1+$B35)^4.5-Assumptions!$B$26)/Assumptions!$B$22</f>
        <v>25.744759215727562</v>
      </c>
      <c r="D35" s="27">
        <f>(SUM(B12/(1+$B35)^0.5,C12/(1+$B35)^1.5,D12/(1+$B35)^2.5,E12/(1+$B35)^3.5,F12/(1+$B35)^4.5)+(F12*(1+D$31)/($B35-D$31))/(1+$B35)^4.5-Assumptions!$B$26)/Assumptions!$B$22</f>
        <v>27.419466874305144</v>
      </c>
      <c r="E35" s="27">
        <f>(SUM(B12/(1+$B35)^0.5,C12/(1+$B35)^1.5,D12/(1+$B35)^2.5,E12/(1+$B35)^3.5,F12/(1+$B35)^4.5)+(F12*(1+E$31)/($B35-E$31))/(1+$B35)^4.5-Assumptions!$B$26)/Assumptions!$B$22</f>
        <v>29.351821864971587</v>
      </c>
      <c r="F35" s="27">
        <f>(SUM(B12/(1+$B35)^0.5,C12/(1+$B35)^1.5,D12/(1+$B35)^2.5,E12/(1+$B35)^3.5,F12/(1+$B35)^4.5)+(F12*(1+F$31)/($B35-F$31))/(1+$B35)^4.5-Assumptions!$B$26)/Assumptions!$B$22</f>
        <v>31.606236020749105</v>
      </c>
      <c r="G35" s="27">
        <f>(SUM(B12/(1+$B35)^0.5,C12/(1+$B35)^1.5,D12/(1+$B35)^2.5,E12/(1+$B35)^3.5,F12/(1+$B35)^4.5)+(F12*(1+G$31)/($B35-G$31))/(1+$B35)^4.5-Assumptions!$B$26)/Assumptions!$B$22</f>
        <v>34.270543659395273</v>
      </c>
    </row>
    <row r="36" spans="2:7" x14ac:dyDescent="0.25">
      <c r="B36" s="94">
        <v>0.1</v>
      </c>
      <c r="C36" s="27">
        <f>(SUM(B12/(1+$B36)^0.5,C12/(1+$B36)^1.5,D12/(1+$B36)^2.5,E12/(1+$B36)^3.5,F12/(1+$B36)^4.5)+(F12*(1+C$31)/($B36-C$31))/(1+$B36)^4.5-Assumptions!$B$26)/Assumptions!$B$22</f>
        <v>23.876779931125917</v>
      </c>
      <c r="D36" s="27">
        <f>(SUM(B12/(1+$B36)^0.5,C12/(1+$B36)^1.5,D12/(1+$B36)^2.5,E12/(1+$B36)^3.5,F12/(1+$B36)^4.5)+(F12*(1+D$31)/($B36-D$31))/(1+$B36)^4.5-Assumptions!$B$26)/Assumptions!$B$22</f>
        <v>25.318968598148626</v>
      </c>
      <c r="E36" s="27">
        <f>(SUM(B12/(1+$B36)^0.5,C12/(1+$B36)^1.5,D12/(1+$B36)^2.5,E12/(1+$B36)^3.5,F12/(1+$B36)^4.5)+(F12*(1+E$31)/($B36-E$31))/(1+$B36)^4.5-Assumptions!$B$26)/Assumptions!$B$22</f>
        <v>26.967184217603165</v>
      </c>
      <c r="F36" s="27">
        <f>(SUM(B12/(1+$B36)^0.5,C12/(1+$B36)^1.5,D12/(1+$B36)^2.5,E12/(1+$B36)^3.5,F12/(1+$B36)^4.5)+(F12*(1+F$31)/($B36-F$31))/(1+$B36)^4.5-Assumptions!$B$26)/Assumptions!$B$22</f>
        <v>28.868971470819936</v>
      </c>
      <c r="G36" s="27">
        <f>(SUM(B12/(1+$B36)^0.5,C12/(1+$B36)^1.5,D12/(1+$B36)^2.5,E12/(1+$B36)^3.5,F12/(1+$B36)^4.5)+(F12*(1+G$31)/($B36-G$31))/(1+$B36)^4.5-Assumptions!$B$26)/Assumptions!$B$22</f>
        <v>31.0877232662395</v>
      </c>
    </row>
    <row r="37" spans="2:7" x14ac:dyDescent="0.25">
      <c r="B37" s="94">
        <v>0.105</v>
      </c>
      <c r="C37" s="27">
        <f>(SUM(B12/(1+$B37)^0.5,C12/(1+$B37)^1.5,D12/(1+$B37)^2.5,E12/(1+$B37)^3.5,F12/(1+$B37)^4.5)+(F12*(1+C$31)/($B37-C$31))/(1+$B37)^4.5-Assumptions!$B$26)/Assumptions!$B$22</f>
        <v>22.229640704194253</v>
      </c>
      <c r="D37" s="27">
        <f>(SUM(B12/(1+$B37)^0.5,C12/(1+$B37)^1.5,D12/(1+$B37)^2.5,E12/(1+$B37)^3.5,F12/(1+$B37)^4.5)+(F12*(1+D$31)/($B37-D$31))/(1+$B37)^4.5-Assumptions!$B$26)/Assumptions!$B$22</f>
        <v>23.482120823848177</v>
      </c>
      <c r="E37" s="27">
        <f>(SUM(B12/(1+$B37)^0.5,C12/(1+$B37)^1.5,D12/(1+$B37)^2.5,E12/(1+$B37)^3.5,F12/(1+$B37)^4.5)+(F12*(1+E$31)/($B37-E$31))/(1+$B37)^4.5-Assumptions!$B$26)/Assumptions!$B$22</f>
        <v>24.901598292789295</v>
      </c>
      <c r="F37" s="27">
        <f>(SUM(B12/(1+$B37)^0.5,C12/(1+$B37)^1.5,D12/(1+$B37)^2.5,E12/(1+$B37)^3.5,F12/(1+$B37)^4.5)+(F12*(1+F$31)/($B37-F$31))/(1+$B37)^4.5-Assumptions!$B$26)/Assumptions!$B$22</f>
        <v>26.523858257293423</v>
      </c>
      <c r="G37" s="27">
        <f>(SUM(B12/(1+$B37)^0.5,C12/(1+$B37)^1.5,D12/(1+$B37)^2.5,E12/(1+$B37)^3.5,F12/(1+$B37)^4.5)+(F12*(1+G$31)/($B37-G$31))/(1+$B37)^4.5-Assumptions!$B$26)/Assumptions!$B$22</f>
        <v>28.395696677875112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96E7-3A54-4AB2-A7B7-0C23314F1B63}">
  <dimension ref="A1:Z31"/>
  <sheetViews>
    <sheetView showGridLines="0" workbookViewId="0">
      <selection activeCell="C24" sqref="C24"/>
    </sheetView>
  </sheetViews>
  <sheetFormatPr defaultColWidth="8.875" defaultRowHeight="15.75" x14ac:dyDescent="0.25"/>
  <cols>
    <col min="1" max="1" width="31.625" style="3" customWidth="1"/>
    <col min="2" max="2" width="14.125" style="4" customWidth="1"/>
    <col min="3" max="3" width="31.625" style="4" customWidth="1"/>
    <col min="4" max="26" width="14.125" style="4" customWidth="1"/>
  </cols>
  <sheetData>
    <row r="1" spans="1:8" x14ac:dyDescent="0.25">
      <c r="A1" s="97" t="s">
        <v>172</v>
      </c>
      <c r="B1" s="98"/>
      <c r="C1" s="98"/>
      <c r="D1" s="98"/>
      <c r="E1" s="98"/>
      <c r="F1" s="98"/>
      <c r="G1" s="98"/>
      <c r="H1" s="98"/>
    </row>
    <row r="4" spans="1:8" x14ac:dyDescent="0.25">
      <c r="A4" s="77" t="s">
        <v>21</v>
      </c>
      <c r="B4" s="78" t="s">
        <v>23</v>
      </c>
      <c r="C4" s="78" t="s">
        <v>56</v>
      </c>
      <c r="D4" s="78" t="s">
        <v>173</v>
      </c>
      <c r="E4" s="78" t="s">
        <v>174</v>
      </c>
      <c r="F4" s="78" t="s">
        <v>175</v>
      </c>
      <c r="G4" s="78" t="s">
        <v>176</v>
      </c>
      <c r="H4" s="78" t="s">
        <v>177</v>
      </c>
    </row>
    <row r="5" spans="1:8" x14ac:dyDescent="0.25">
      <c r="A5" s="3" t="s">
        <v>178</v>
      </c>
      <c r="B5" s="4" t="s">
        <v>179</v>
      </c>
      <c r="C5" s="4" t="s">
        <v>180</v>
      </c>
      <c r="D5" s="28">
        <v>11.2</v>
      </c>
      <c r="E5" s="28">
        <v>10.8</v>
      </c>
      <c r="F5" s="28">
        <v>10.7</v>
      </c>
      <c r="G5" s="28">
        <v>10.4</v>
      </c>
      <c r="H5" s="4" t="s">
        <v>181</v>
      </c>
    </row>
    <row r="6" spans="1:8" x14ac:dyDescent="0.25">
      <c r="A6" s="3" t="s">
        <v>182</v>
      </c>
      <c r="B6" s="4" t="s">
        <v>183</v>
      </c>
      <c r="C6" s="4" t="s">
        <v>184</v>
      </c>
      <c r="D6" s="28">
        <v>10.9</v>
      </c>
      <c r="E6" s="28">
        <v>9</v>
      </c>
      <c r="F6" s="28">
        <v>7.4</v>
      </c>
      <c r="G6" s="28">
        <v>6.2</v>
      </c>
      <c r="H6" s="4" t="s">
        <v>181</v>
      </c>
    </row>
    <row r="7" spans="1:8" x14ac:dyDescent="0.25">
      <c r="A7" s="3" t="s">
        <v>185</v>
      </c>
      <c r="B7" s="4" t="s">
        <v>186</v>
      </c>
      <c r="C7" s="4" t="s">
        <v>187</v>
      </c>
      <c r="D7" s="28">
        <v>10.9</v>
      </c>
      <c r="E7" s="28">
        <v>9.6</v>
      </c>
      <c r="F7" s="28">
        <v>13.8</v>
      </c>
      <c r="G7" s="28">
        <v>12</v>
      </c>
      <c r="H7" s="4" t="s">
        <v>181</v>
      </c>
    </row>
    <row r="8" spans="1:8" x14ac:dyDescent="0.25">
      <c r="A8" s="3" t="s">
        <v>188</v>
      </c>
      <c r="B8" s="4" t="s">
        <v>189</v>
      </c>
      <c r="C8" s="4" t="s">
        <v>190</v>
      </c>
      <c r="D8" s="28">
        <v>10.9</v>
      </c>
      <c r="E8" s="28">
        <v>9.5</v>
      </c>
      <c r="F8" s="28">
        <v>16.5</v>
      </c>
      <c r="G8" s="28">
        <v>12.8</v>
      </c>
      <c r="H8" s="4" t="s">
        <v>181</v>
      </c>
    </row>
    <row r="9" spans="1:8" x14ac:dyDescent="0.25">
      <c r="D9" s="28"/>
      <c r="E9" s="28"/>
      <c r="F9" s="28"/>
      <c r="G9" s="28"/>
    </row>
    <row r="10" spans="1:8" x14ac:dyDescent="0.25">
      <c r="A10" s="77" t="s">
        <v>191</v>
      </c>
      <c r="B10" s="78"/>
      <c r="C10" s="78"/>
      <c r="D10" s="99">
        <f>MEDIAN(D5:D7)</f>
        <v>10.9</v>
      </c>
      <c r="E10" s="99">
        <f>MEDIAN(E5:E7)</f>
        <v>9.6</v>
      </c>
      <c r="F10" s="99">
        <f>MEDIAN(F5:F7)</f>
        <v>10.7</v>
      </c>
      <c r="G10" s="99">
        <f>MEDIAN(G5:G7)</f>
        <v>10.4</v>
      </c>
      <c r="H10" s="78"/>
    </row>
    <row r="14" spans="1:8" x14ac:dyDescent="0.25">
      <c r="A14" s="55" t="s">
        <v>192</v>
      </c>
      <c r="B14" s="56"/>
    </row>
    <row r="16" spans="1:8" x14ac:dyDescent="0.25">
      <c r="A16" s="3" t="s">
        <v>193</v>
      </c>
      <c r="B16" s="18">
        <f>'3Stmt'!F12</f>
        <v>337.37611927500006</v>
      </c>
    </row>
    <row r="17" spans="1:8" x14ac:dyDescent="0.25">
      <c r="A17" s="3" t="s">
        <v>194</v>
      </c>
      <c r="B17" s="18">
        <f>'3Stmt'!G12</f>
        <v>369.64687851000008</v>
      </c>
    </row>
    <row r="18" spans="1:8" x14ac:dyDescent="0.25">
      <c r="A18" s="3" t="s">
        <v>195</v>
      </c>
      <c r="B18" s="18">
        <f>'3Stmt'!F17</f>
        <v>240.40762525710002</v>
      </c>
    </row>
    <row r="19" spans="1:8" x14ac:dyDescent="0.25">
      <c r="A19" s="3" t="s">
        <v>196</v>
      </c>
      <c r="B19" s="18">
        <f>'3Stmt'!G17</f>
        <v>269.48946647641731</v>
      </c>
    </row>
    <row r="20" spans="1:8" x14ac:dyDescent="0.25">
      <c r="A20" s="3" t="s">
        <v>165</v>
      </c>
      <c r="B20" s="18">
        <f>Assumptions!B26</f>
        <v>450.012</v>
      </c>
    </row>
    <row r="21" spans="1:8" x14ac:dyDescent="0.25">
      <c r="A21" s="3" t="s">
        <v>167</v>
      </c>
      <c r="B21" s="26">
        <f>Assumptions!B22</f>
        <v>130.62</v>
      </c>
    </row>
    <row r="23" spans="1:8" x14ac:dyDescent="0.25">
      <c r="A23" s="3" t="s">
        <v>197</v>
      </c>
      <c r="B23" s="27">
        <f>(B16*$D$10-B20)/B21</f>
        <v>24.708220028307309</v>
      </c>
    </row>
    <row r="24" spans="1:8" x14ac:dyDescent="0.25">
      <c r="A24" s="3" t="s">
        <v>198</v>
      </c>
      <c r="B24" s="27">
        <f>(B17*$E$10-B20)/B21</f>
        <v>23.72223268791916</v>
      </c>
    </row>
    <row r="25" spans="1:8" x14ac:dyDescent="0.25">
      <c r="A25" s="3" t="s">
        <v>199</v>
      </c>
      <c r="B25" s="27">
        <f>B18*$F$10/B21</f>
        <v>19.693474125332799</v>
      </c>
    </row>
    <row r="26" spans="1:8" x14ac:dyDescent="0.25">
      <c r="A26" s="3" t="s">
        <v>200</v>
      </c>
      <c r="B26" s="27">
        <f>B19*$G$10/B21</f>
        <v>21.456824769214055</v>
      </c>
    </row>
    <row r="27" spans="1:8" x14ac:dyDescent="0.25">
      <c r="A27" s="92" t="s">
        <v>201</v>
      </c>
      <c r="B27" s="93">
        <f>AVERAGE(B23:B26)</f>
        <v>22.39518790269333</v>
      </c>
    </row>
    <row r="28" spans="1:8" x14ac:dyDescent="0.25">
      <c r="A28" s="3" t="s">
        <v>31</v>
      </c>
      <c r="B28" s="27">
        <f>Assumptions!B21</f>
        <v>24.9</v>
      </c>
    </row>
    <row r="29" spans="1:8" x14ac:dyDescent="0.25">
      <c r="A29" s="3" t="s">
        <v>169</v>
      </c>
      <c r="B29" s="20">
        <f>B27/B28-1</f>
        <v>-0.10059486334564938</v>
      </c>
    </row>
    <row r="31" spans="1:8" x14ac:dyDescent="0.25">
      <c r="A31" s="8"/>
      <c r="B31" s="9"/>
      <c r="C31" s="9"/>
      <c r="D31" s="9"/>
      <c r="E31" s="9"/>
      <c r="F31" s="9"/>
      <c r="G31" s="9"/>
      <c r="H3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D4B1-207E-4F74-8126-3D7CA349DE3D}">
  <dimension ref="A1:Z32"/>
  <sheetViews>
    <sheetView showGridLines="0" workbookViewId="0">
      <selection activeCell="D23" sqref="D23"/>
    </sheetView>
  </sheetViews>
  <sheetFormatPr defaultColWidth="8.875" defaultRowHeight="15.75" x14ac:dyDescent="0.25"/>
  <cols>
    <col min="1" max="1" width="36.625" style="3" customWidth="1"/>
    <col min="2" max="4" width="14.125" style="4" customWidth="1"/>
    <col min="5" max="5" width="60" style="4" customWidth="1"/>
    <col min="6" max="26" width="14.125" style="4" customWidth="1"/>
  </cols>
  <sheetData>
    <row r="1" spans="1:5" x14ac:dyDescent="0.25">
      <c r="A1" s="55" t="s">
        <v>202</v>
      </c>
      <c r="B1" s="56"/>
      <c r="C1" s="56"/>
      <c r="D1" s="56"/>
      <c r="E1" s="56"/>
    </row>
    <row r="3" spans="1:5" x14ac:dyDescent="0.25">
      <c r="A3" s="77" t="s">
        <v>203</v>
      </c>
      <c r="B3" s="78" t="s">
        <v>204</v>
      </c>
      <c r="C3" s="78" t="s">
        <v>205</v>
      </c>
      <c r="D3" s="78" t="s">
        <v>206</v>
      </c>
      <c r="E3" s="78" t="s">
        <v>56</v>
      </c>
    </row>
    <row r="4" spans="1:5" x14ac:dyDescent="0.25">
      <c r="A4" s="3" t="s">
        <v>231</v>
      </c>
      <c r="B4" s="65" t="s">
        <v>258</v>
      </c>
      <c r="C4" s="18">
        <f>'3Stmt'!B35</f>
        <v>0</v>
      </c>
      <c r="D4" s="29" t="str">
        <f t="shared" ref="D4:D20" si="0">IF(ABS(C4)&lt;0.1,"PASS","FAIL")</f>
        <v>PASS</v>
      </c>
      <c r="E4" s="4" t="s">
        <v>208</v>
      </c>
    </row>
    <row r="5" spans="1:5" x14ac:dyDescent="0.25">
      <c r="A5" s="3" t="s">
        <v>207</v>
      </c>
      <c r="B5" s="65" t="s">
        <v>258</v>
      </c>
      <c r="C5" s="18">
        <f>'3Stmt'!C35</f>
        <v>0</v>
      </c>
      <c r="D5" s="29" t="str">
        <f t="shared" si="0"/>
        <v>PASS</v>
      </c>
      <c r="E5" s="4" t="s">
        <v>208</v>
      </c>
    </row>
    <row r="6" spans="1:5" x14ac:dyDescent="0.25">
      <c r="A6" s="3" t="s">
        <v>209</v>
      </c>
      <c r="B6" s="65" t="s">
        <v>258</v>
      </c>
      <c r="C6" s="18">
        <f>'3Stmt'!D35</f>
        <v>0</v>
      </c>
      <c r="D6" s="29" t="str">
        <f t="shared" si="0"/>
        <v>PASS</v>
      </c>
      <c r="E6" s="4" t="s">
        <v>208</v>
      </c>
    </row>
    <row r="7" spans="1:5" x14ac:dyDescent="0.25">
      <c r="A7" s="3" t="s">
        <v>210</v>
      </c>
      <c r="B7" s="65" t="s">
        <v>258</v>
      </c>
      <c r="C7" s="18">
        <f>'3Stmt'!E35</f>
        <v>0</v>
      </c>
      <c r="D7" s="29" t="str">
        <f t="shared" si="0"/>
        <v>PASS</v>
      </c>
      <c r="E7" s="4" t="s">
        <v>208</v>
      </c>
    </row>
    <row r="8" spans="1:5" x14ac:dyDescent="0.25">
      <c r="A8" s="3" t="s">
        <v>211</v>
      </c>
      <c r="B8" s="65" t="s">
        <v>258</v>
      </c>
      <c r="C8" s="18">
        <f>'3Stmt'!F35</f>
        <v>0</v>
      </c>
      <c r="D8" s="29" t="str">
        <f t="shared" si="0"/>
        <v>PASS</v>
      </c>
      <c r="E8" s="4" t="s">
        <v>208</v>
      </c>
    </row>
    <row r="9" spans="1:5" x14ac:dyDescent="0.25">
      <c r="A9" s="3" t="s">
        <v>212</v>
      </c>
      <c r="B9" s="65" t="s">
        <v>258</v>
      </c>
      <c r="C9" s="18">
        <f>'3Stmt'!G35</f>
        <v>0</v>
      </c>
      <c r="D9" s="29" t="str">
        <f t="shared" si="0"/>
        <v>PASS</v>
      </c>
      <c r="E9" s="4" t="s">
        <v>208</v>
      </c>
    </row>
    <row r="10" spans="1:5" x14ac:dyDescent="0.25">
      <c r="A10" s="3" t="s">
        <v>213</v>
      </c>
      <c r="B10" s="65" t="s">
        <v>258</v>
      </c>
      <c r="C10" s="18">
        <f>'3Stmt'!H35</f>
        <v>0</v>
      </c>
      <c r="D10" s="29" t="str">
        <f t="shared" si="0"/>
        <v>PASS</v>
      </c>
      <c r="E10" s="4" t="s">
        <v>208</v>
      </c>
    </row>
    <row r="11" spans="1:5" x14ac:dyDescent="0.25">
      <c r="A11" s="3" t="s">
        <v>214</v>
      </c>
      <c r="B11" s="65" t="s">
        <v>258</v>
      </c>
      <c r="C11" s="18">
        <f>'3Stmt'!I35</f>
        <v>0</v>
      </c>
      <c r="D11" s="29" t="str">
        <f t="shared" si="0"/>
        <v>PASS</v>
      </c>
      <c r="E11" s="4" t="s">
        <v>208</v>
      </c>
    </row>
    <row r="12" spans="1:5" x14ac:dyDescent="0.25">
      <c r="A12" s="3" t="s">
        <v>215</v>
      </c>
      <c r="B12" s="65" t="s">
        <v>258</v>
      </c>
      <c r="C12" s="18">
        <f>'3Stmt'!J35</f>
        <v>0</v>
      </c>
      <c r="D12" s="29" t="str">
        <f t="shared" si="0"/>
        <v>PASS</v>
      </c>
      <c r="E12" s="4" t="s">
        <v>208</v>
      </c>
    </row>
    <row r="13" spans="1:5" x14ac:dyDescent="0.25">
      <c r="A13" s="3" t="s">
        <v>232</v>
      </c>
      <c r="B13" s="65" t="s">
        <v>259</v>
      </c>
      <c r="C13" s="18">
        <f>'3Stmt'!C47</f>
        <v>0</v>
      </c>
      <c r="D13" s="29" t="str">
        <f t="shared" si="0"/>
        <v>PASS</v>
      </c>
      <c r="E13" s="4" t="s">
        <v>277</v>
      </c>
    </row>
    <row r="14" spans="1:5" x14ac:dyDescent="0.25">
      <c r="A14" s="3" t="s">
        <v>233</v>
      </c>
      <c r="B14" s="65" t="s">
        <v>259</v>
      </c>
      <c r="C14" s="18">
        <f>'3Stmt'!D47</f>
        <v>0</v>
      </c>
      <c r="D14" s="29" t="str">
        <f t="shared" si="0"/>
        <v>PASS</v>
      </c>
      <c r="E14" s="4" t="s">
        <v>277</v>
      </c>
    </row>
    <row r="15" spans="1:5" x14ac:dyDescent="0.25">
      <c r="A15" s="3" t="s">
        <v>234</v>
      </c>
      <c r="B15" s="65" t="s">
        <v>259</v>
      </c>
      <c r="C15" s="18">
        <f>'3Stmt'!E47</f>
        <v>0</v>
      </c>
      <c r="D15" s="29" t="str">
        <f t="shared" si="0"/>
        <v>PASS</v>
      </c>
      <c r="E15" s="4" t="s">
        <v>277</v>
      </c>
    </row>
    <row r="16" spans="1:5" x14ac:dyDescent="0.25">
      <c r="A16" s="3" t="s">
        <v>216</v>
      </c>
      <c r="B16" s="65" t="s">
        <v>259</v>
      </c>
      <c r="C16" s="18">
        <f>'3Stmt'!F47</f>
        <v>0</v>
      </c>
      <c r="D16" s="29" t="str">
        <f t="shared" si="0"/>
        <v>PASS</v>
      </c>
      <c r="E16" s="4" t="s">
        <v>277</v>
      </c>
    </row>
    <row r="17" spans="1:6" x14ac:dyDescent="0.25">
      <c r="A17" s="3" t="s">
        <v>217</v>
      </c>
      <c r="B17" s="64" t="s">
        <v>259</v>
      </c>
      <c r="C17" s="18">
        <f>'3Stmt'!G47</f>
        <v>0</v>
      </c>
      <c r="D17" s="29" t="str">
        <f t="shared" si="0"/>
        <v>PASS</v>
      </c>
      <c r="E17" s="4" t="s">
        <v>277</v>
      </c>
    </row>
    <row r="18" spans="1:6" x14ac:dyDescent="0.25">
      <c r="A18" s="3" t="s">
        <v>218</v>
      </c>
      <c r="B18" s="64" t="s">
        <v>259</v>
      </c>
      <c r="C18" s="18">
        <f>'3Stmt'!H47</f>
        <v>0</v>
      </c>
      <c r="D18" s="29" t="str">
        <f t="shared" si="0"/>
        <v>PASS</v>
      </c>
      <c r="E18" s="4" t="s">
        <v>277</v>
      </c>
    </row>
    <row r="19" spans="1:6" x14ac:dyDescent="0.25">
      <c r="A19" s="3" t="s">
        <v>219</v>
      </c>
      <c r="B19" s="64" t="s">
        <v>259</v>
      </c>
      <c r="C19" s="18">
        <f>'3Stmt'!I47</f>
        <v>0</v>
      </c>
      <c r="D19" s="29" t="str">
        <f t="shared" si="0"/>
        <v>PASS</v>
      </c>
      <c r="E19" s="4" t="s">
        <v>277</v>
      </c>
    </row>
    <row r="20" spans="1:6" x14ac:dyDescent="0.25">
      <c r="A20" s="3" t="s">
        <v>220</v>
      </c>
      <c r="B20" s="64" t="s">
        <v>259</v>
      </c>
      <c r="C20" s="18">
        <f>'3Stmt'!J47</f>
        <v>0</v>
      </c>
      <c r="D20" s="29" t="str">
        <f t="shared" si="0"/>
        <v>PASS</v>
      </c>
      <c r="E20" s="4" t="s">
        <v>277</v>
      </c>
    </row>
    <row r="21" spans="1:6" x14ac:dyDescent="0.25">
      <c r="A21" s="3" t="s">
        <v>221</v>
      </c>
      <c r="B21" s="4" t="s">
        <v>222</v>
      </c>
      <c r="C21" s="4">
        <f>Assumptions!B35-Assumptions!B36</f>
        <v>6.9105397468006466E-2</v>
      </c>
      <c r="D21" s="29" t="str">
        <f>IF(C21&gt;0,"PASS","FAIL")</f>
        <v>PASS</v>
      </c>
      <c r="E21" s="4" t="s">
        <v>223</v>
      </c>
    </row>
    <row r="22" spans="1:6" x14ac:dyDescent="0.25">
      <c r="A22" s="3" t="s">
        <v>224</v>
      </c>
      <c r="B22" s="4" t="s">
        <v>225</v>
      </c>
      <c r="C22" s="27">
        <f>DCF!B24</f>
        <v>27.368409378390218</v>
      </c>
      <c r="D22" s="29" t="str">
        <f>IF(C22&gt;0,"PASS","FAIL")</f>
        <v>PASS</v>
      </c>
      <c r="E22" s="4" t="s">
        <v>235</v>
      </c>
    </row>
    <row r="23" spans="1:6" x14ac:dyDescent="0.25">
      <c r="A23" s="3" t="s">
        <v>226</v>
      </c>
      <c r="B23" s="4" t="s">
        <v>227</v>
      </c>
      <c r="C23" s="4">
        <f>COUNTA(Sources!A4:A13)</f>
        <v>10</v>
      </c>
      <c r="D23" s="29" t="str">
        <f>IF(C23&gt;=10,"PASS","WARN")</f>
        <v>PASS</v>
      </c>
      <c r="E23" s="4" t="s">
        <v>228</v>
      </c>
    </row>
    <row r="25" spans="1:6" x14ac:dyDescent="0.25">
      <c r="A25" s="68"/>
      <c r="B25" s="57"/>
      <c r="C25" s="57"/>
      <c r="D25" s="57"/>
      <c r="E25" s="57"/>
      <c r="F25" s="59"/>
    </row>
    <row r="26" spans="1:6" x14ac:dyDescent="0.25">
      <c r="A26" s="69"/>
      <c r="B26" s="54"/>
      <c r="C26" s="54"/>
      <c r="D26" s="54"/>
      <c r="E26" s="54"/>
      <c r="F26" s="59"/>
    </row>
    <row r="27" spans="1:6" x14ac:dyDescent="0.25">
      <c r="A27" s="69"/>
      <c r="B27" s="54"/>
      <c r="C27" s="54"/>
      <c r="D27" s="54"/>
      <c r="E27" s="54"/>
      <c r="F27" s="59"/>
    </row>
    <row r="28" spans="1:6" x14ac:dyDescent="0.25">
      <c r="A28" s="69"/>
      <c r="B28" s="54"/>
      <c r="C28" s="54"/>
      <c r="D28" s="54"/>
      <c r="E28" s="54"/>
      <c r="F28" s="59"/>
    </row>
    <row r="29" spans="1:6" x14ac:dyDescent="0.25">
      <c r="A29" s="69"/>
      <c r="B29" s="54"/>
      <c r="C29" s="54"/>
      <c r="D29" s="54"/>
      <c r="E29" s="54"/>
      <c r="F29" s="59"/>
    </row>
    <row r="30" spans="1:6" x14ac:dyDescent="0.25">
      <c r="A30" s="69"/>
      <c r="B30" s="54"/>
      <c r="C30" s="54"/>
      <c r="D30" s="54"/>
      <c r="E30" s="54"/>
      <c r="F30" s="59"/>
    </row>
    <row r="31" spans="1:6" x14ac:dyDescent="0.25">
      <c r="A31" s="69"/>
      <c r="B31" s="54"/>
      <c r="C31" s="54"/>
      <c r="D31" s="54"/>
      <c r="E31" s="54"/>
      <c r="F31" s="59"/>
    </row>
    <row r="32" spans="1:6" x14ac:dyDescent="0.25">
      <c r="A32" s="70"/>
      <c r="B32" s="59"/>
      <c r="C32" s="59"/>
      <c r="D32" s="59"/>
      <c r="E32" s="59"/>
      <c r="F32" s="5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35A9-477A-4406-813C-636BDE243EDB}">
  <dimension ref="A1:G2"/>
  <sheetViews>
    <sheetView showGridLines="0" tabSelected="1" zoomScale="85" zoomScaleNormal="85" workbookViewId="0">
      <selection activeCell="G35" sqref="G35"/>
    </sheetView>
  </sheetViews>
  <sheetFormatPr defaultRowHeight="15.75" x14ac:dyDescent="0.25"/>
  <sheetData>
    <row r="1" spans="1:7" ht="18.75" x14ac:dyDescent="0.3">
      <c r="A1" s="88" t="s">
        <v>278</v>
      </c>
      <c r="B1" s="56"/>
      <c r="C1" s="56"/>
      <c r="D1" s="56"/>
      <c r="E1" s="56"/>
      <c r="F1" s="56"/>
      <c r="G1" s="56"/>
    </row>
    <row r="2" spans="1:7" x14ac:dyDescent="0.25">
      <c r="A2" s="100" t="s">
        <v>279</v>
      </c>
      <c r="B2" s="100"/>
      <c r="C2" s="100"/>
      <c r="D2" s="100"/>
      <c r="E2" s="100"/>
      <c r="F2" s="100"/>
      <c r="G2" s="10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9A4DB5-C5C4-443F-87B2-80C3CEDDC2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72FDE-7B67-405C-912F-79931FAB6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3Stmt</vt:lpstr>
      <vt:lpstr>Cover</vt:lpstr>
      <vt:lpstr>Sources</vt:lpstr>
      <vt:lpstr>Assumptions</vt:lpstr>
      <vt:lpstr>DCF</vt:lpstr>
      <vt:lpstr>Comps</vt:lpstr>
      <vt:lpstr>Checks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Karol Ignatowicz (195355)</cp:lastModifiedBy>
  <dcterms:created xsi:type="dcterms:W3CDTF">2023-10-04T09:06:02Z</dcterms:created>
  <dcterms:modified xsi:type="dcterms:W3CDTF">2026-07-16T16:07:00Z</dcterms:modified>
</cp:coreProperties>
</file>